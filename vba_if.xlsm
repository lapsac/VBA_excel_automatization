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ma\OneDrive\Dators\"/>
    </mc:Choice>
  </mc:AlternateContent>
  <xr:revisionPtr revIDLastSave="0" documentId="13_ncr:1_{A7E88489-B9F1-49DD-A943-75E227BD667C}" xr6:coauthVersionLast="47" xr6:coauthVersionMax="47" xr10:uidLastSave="{00000000-0000-0000-0000-000000000000}"/>
  <bookViews>
    <workbookView xWindow="1884" yWindow="1884" windowWidth="17280" windowHeight="8880" xr2:uid="{00000000-000D-0000-FFFF-FFFF00000000}"/>
  </bookViews>
  <sheets>
    <sheet name="Invoice Dat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" l="1" a="1"/>
  <c r="F10" i="2" a="1"/>
  <c r="F14" i="2" a="1"/>
  <c r="F18" i="2" a="1"/>
  <c r="F22" i="2" a="1"/>
  <c r="F26" i="2" a="1"/>
  <c r="F30" i="2" a="1"/>
  <c r="F34" i="2" a="1"/>
  <c r="F38" i="2" a="1"/>
  <c r="F42" i="2" a="1"/>
  <c r="F46" i="2" a="1"/>
  <c r="F50" i="2" a="1"/>
  <c r="F54" i="2" a="1"/>
  <c r="F58" i="2" a="1"/>
  <c r="F62" i="2" a="1"/>
  <c r="F66" i="2" a="1"/>
  <c r="F70" i="2" a="1"/>
  <c r="F74" i="2" a="1"/>
  <c r="F78" i="2" a="1"/>
  <c r="F82" i="2" a="1"/>
  <c r="F86" i="2" a="1"/>
  <c r="F90" i="2" a="1"/>
  <c r="F94" i="2" a="1"/>
  <c r="F98" i="2" a="1"/>
  <c r="F102" i="2" a="1"/>
  <c r="F106" i="2" a="1"/>
  <c r="F110" i="2" a="1"/>
  <c r="F114" i="2" a="1"/>
  <c r="F118" i="2" a="1"/>
  <c r="F122" i="2" a="1"/>
  <c r="F126" i="2" a="1"/>
  <c r="F130" i="2" a="1"/>
  <c r="F134" i="2" a="1"/>
  <c r="F138" i="2" a="1"/>
  <c r="F142" i="2" a="1"/>
  <c r="F146" i="2" a="1"/>
  <c r="F150" i="2" a="1"/>
  <c r="F154" i="2" a="1"/>
  <c r="F158" i="2" a="1"/>
  <c r="F162" i="2" a="1"/>
  <c r="F166" i="2" a="1"/>
  <c r="F170" i="2" a="1"/>
  <c r="F174" i="2" a="1"/>
  <c r="F178" i="2" a="1"/>
  <c r="F182" i="2" a="1"/>
  <c r="F186" i="2" a="1"/>
  <c r="F190" i="2" a="1"/>
  <c r="F7" i="2" a="1"/>
  <c r="F11" i="2" a="1"/>
  <c r="F15" i="2" a="1"/>
  <c r="F19" i="2" a="1"/>
  <c r="F23" i="2" a="1"/>
  <c r="F27" i="2" a="1"/>
  <c r="F8" i="2" a="1"/>
  <c r="F12" i="2" a="1"/>
  <c r="F16" i="2" a="1"/>
  <c r="F20" i="2" a="1"/>
  <c r="F24" i="2" a="1"/>
  <c r="F28" i="2" a="1"/>
  <c r="F32" i="2" a="1"/>
  <c r="F36" i="2" a="1"/>
  <c r="F40" i="2" a="1"/>
  <c r="F44" i="2" a="1"/>
  <c r="F48" i="2" a="1"/>
  <c r="F52" i="2" a="1"/>
  <c r="F56" i="2" a="1"/>
  <c r="F60" i="2" a="1"/>
  <c r="F64" i="2" a="1"/>
  <c r="F68" i="2" a="1"/>
  <c r="F72" i="2" a="1"/>
  <c r="F76" i="2" a="1"/>
  <c r="F80" i="2" a="1"/>
  <c r="F84" i="2" a="1"/>
  <c r="F88" i="2" a="1"/>
  <c r="F92" i="2" a="1"/>
  <c r="F96" i="2" a="1"/>
  <c r="F100" i="2" a="1"/>
  <c r="F104" i="2" a="1"/>
  <c r="F108" i="2" a="1"/>
  <c r="F112" i="2" a="1"/>
  <c r="F116" i="2" a="1"/>
  <c r="F120" i="2" a="1"/>
  <c r="F124" i="2" a="1"/>
  <c r="F128" i="2" a="1"/>
  <c r="F132" i="2" a="1"/>
  <c r="F136" i="2" a="1"/>
  <c r="F140" i="2" a="1"/>
  <c r="F144" i="2" a="1"/>
  <c r="F148" i="2" a="1"/>
  <c r="F152" i="2" a="1"/>
  <c r="F156" i="2" a="1"/>
  <c r="F160" i="2" a="1"/>
  <c r="F164" i="2" a="1"/>
  <c r="F168" i="2" a="1"/>
  <c r="F172" i="2" a="1"/>
  <c r="F176" i="2" a="1"/>
  <c r="F180" i="2" a="1"/>
  <c r="F184" i="2" a="1"/>
  <c r="F188" i="2" a="1"/>
  <c r="F192" i="2" a="1"/>
  <c r="F9" i="2" a="1"/>
  <c r="F31" i="2" a="1"/>
  <c r="F39" i="2" a="1"/>
  <c r="F47" i="2" a="1"/>
  <c r="F55" i="2" a="1"/>
  <c r="F63" i="2" a="1"/>
  <c r="F71" i="2" a="1"/>
  <c r="F79" i="2" a="1"/>
  <c r="F87" i="2" a="1"/>
  <c r="F95" i="2" a="1"/>
  <c r="F103" i="2" a="1"/>
  <c r="F111" i="2" a="1"/>
  <c r="F119" i="2" a="1"/>
  <c r="F127" i="2" a="1"/>
  <c r="F135" i="2" a="1"/>
  <c r="F143" i="2" a="1"/>
  <c r="F151" i="2" a="1"/>
  <c r="F159" i="2" a="1"/>
  <c r="F167" i="2" a="1"/>
  <c r="F175" i="2" a="1"/>
  <c r="F183" i="2" a="1"/>
  <c r="F191" i="2" a="1"/>
  <c r="F202" i="2" a="1"/>
  <c r="F218" i="2" a="1"/>
  <c r="F234" i="2" a="1"/>
  <c r="F250" i="2" a="1"/>
  <c r="F266" i="2" a="1"/>
  <c r="F282" i="2" a="1"/>
  <c r="F298" i="2" a="1"/>
  <c r="F314" i="2" a="1"/>
  <c r="F330" i="2" a="1"/>
  <c r="F21" i="2" a="1"/>
  <c r="F197" i="2" a="1"/>
  <c r="F203" i="2" a="1"/>
  <c r="F208" i="2" a="1"/>
  <c r="F213" i="2" a="1"/>
  <c r="F219" i="2" a="1"/>
  <c r="F224" i="2" a="1"/>
  <c r="F229" i="2" a="1"/>
  <c r="F235" i="2" a="1"/>
  <c r="F240" i="2" a="1"/>
  <c r="F245" i="2" a="1"/>
  <c r="F251" i="2" a="1"/>
  <c r="F256" i="2" a="1"/>
  <c r="F261" i="2" a="1"/>
  <c r="F267" i="2" a="1"/>
  <c r="F272" i="2" a="1"/>
  <c r="F277" i="2" a="1"/>
  <c r="F283" i="2" a="1"/>
  <c r="F288" i="2" a="1"/>
  <c r="F293" i="2" a="1"/>
  <c r="F299" i="2" a="1"/>
  <c r="F304" i="2" a="1"/>
  <c r="F309" i="2" a="1"/>
  <c r="F315" i="2" a="1"/>
  <c r="F320" i="2" a="1"/>
  <c r="F325" i="2" a="1"/>
  <c r="F331" i="2" a="1"/>
  <c r="F336" i="2" a="1"/>
  <c r="F341" i="2" a="1"/>
  <c r="F346" i="2" a="1"/>
  <c r="F350" i="2" a="1"/>
  <c r="F354" i="2" a="1"/>
  <c r="F358" i="2" a="1"/>
  <c r="F362" i="2" a="1"/>
  <c r="F366" i="2" a="1"/>
  <c r="F370" i="2" a="1"/>
  <c r="F374" i="2" a="1"/>
  <c r="F378" i="2" a="1"/>
  <c r="F382" i="2" a="1"/>
  <c r="F386" i="2" a="1"/>
  <c r="F390" i="2" a="1"/>
  <c r="F394" i="2" a="1"/>
  <c r="F398" i="2" a="1"/>
  <c r="F402" i="2" a="1"/>
  <c r="F406" i="2" a="1"/>
  <c r="F410" i="2" a="1"/>
  <c r="F414" i="2" a="1"/>
  <c r="F418" i="2" a="1"/>
  <c r="F422" i="2" a="1"/>
  <c r="F426" i="2" a="1"/>
  <c r="F13" i="2" a="1"/>
  <c r="F33" i="2" a="1"/>
  <c r="F41" i="2" a="1"/>
  <c r="F49" i="2" a="1"/>
  <c r="F57" i="2" a="1"/>
  <c r="F65" i="2" a="1"/>
  <c r="F73" i="2" a="1"/>
  <c r="F81" i="2" a="1"/>
  <c r="F89" i="2" a="1"/>
  <c r="F97" i="2" a="1"/>
  <c r="F105" i="2" a="1"/>
  <c r="F113" i="2" a="1"/>
  <c r="F121" i="2" a="1"/>
  <c r="F129" i="2" a="1"/>
  <c r="F137" i="2" a="1"/>
  <c r="F145" i="2" a="1"/>
  <c r="F153" i="2" a="1"/>
  <c r="F161" i="2" a="1"/>
  <c r="F169" i="2" a="1"/>
  <c r="F177" i="2" a="1"/>
  <c r="F185" i="2" a="1"/>
  <c r="F193" i="2" a="1"/>
  <c r="F199" i="2" a="1"/>
  <c r="F204" i="2" a="1"/>
  <c r="F209" i="2" a="1"/>
  <c r="F215" i="2" a="1"/>
  <c r="F220" i="2" a="1"/>
  <c r="F225" i="2" a="1"/>
  <c r="F231" i="2" a="1"/>
  <c r="F236" i="2" a="1"/>
  <c r="F241" i="2" a="1"/>
  <c r="F247" i="2" a="1"/>
  <c r="F252" i="2" a="1"/>
  <c r="F257" i="2" a="1"/>
  <c r="F263" i="2" a="1"/>
  <c r="F268" i="2" a="1"/>
  <c r="F273" i="2" a="1"/>
  <c r="F279" i="2" a="1"/>
  <c r="F284" i="2" a="1"/>
  <c r="F289" i="2" a="1"/>
  <c r="F295" i="2" a="1"/>
  <c r="F300" i="2" a="1"/>
  <c r="F305" i="2" a="1"/>
  <c r="F311" i="2" a="1"/>
  <c r="F316" i="2" a="1"/>
  <c r="F321" i="2" a="1"/>
  <c r="F327" i="2" a="1"/>
  <c r="F332" i="2" a="1"/>
  <c r="F337" i="2" a="1"/>
  <c r="F343" i="2" a="1"/>
  <c r="F347" i="2" a="1"/>
  <c r="F351" i="2" a="1"/>
  <c r="F355" i="2" a="1"/>
  <c r="F359" i="2" a="1"/>
  <c r="F363" i="2" a="1"/>
  <c r="F367" i="2" a="1"/>
  <c r="F371" i="2" a="1"/>
  <c r="F375" i="2" a="1"/>
  <c r="F379" i="2" a="1"/>
  <c r="F383" i="2" a="1"/>
  <c r="F387" i="2" a="1"/>
  <c r="F391" i="2" a="1"/>
  <c r="F395" i="2" a="1"/>
  <c r="F399" i="2" a="1"/>
  <c r="F403" i="2" a="1"/>
  <c r="F407" i="2" a="1"/>
  <c r="F411" i="2" a="1"/>
  <c r="F415" i="2" a="1"/>
  <c r="F419" i="2" a="1"/>
  <c r="F423" i="2" a="1"/>
  <c r="F427" i="2" a="1"/>
  <c r="F431" i="2" a="1"/>
  <c r="F435" i="2" a="1"/>
  <c r="F439" i="2" a="1"/>
  <c r="F443" i="2" a="1"/>
  <c r="F447" i="2" a="1"/>
  <c r="F451" i="2" a="1"/>
  <c r="F455" i="2" a="1"/>
  <c r="F459" i="2" a="1"/>
  <c r="F463" i="2" a="1"/>
  <c r="F467" i="2" a="1"/>
  <c r="F471" i="2" a="1"/>
  <c r="F475" i="2" a="1"/>
  <c r="F479" i="2" a="1"/>
  <c r="F483" i="2" a="1"/>
  <c r="F487" i="2" a="1"/>
  <c r="F5" i="2" a="1"/>
  <c r="F43" i="2" a="1"/>
  <c r="F53" i="2" a="1"/>
  <c r="F107" i="2" a="1"/>
  <c r="F117" i="2" a="1"/>
  <c r="F171" i="2" a="1"/>
  <c r="F181" i="2" a="1"/>
  <c r="F195" i="2" a="1"/>
  <c r="F228" i="2" a="1"/>
  <c r="F237" i="2" a="1"/>
  <c r="F246" i="2" a="1"/>
  <c r="F254" i="2" a="1"/>
  <c r="F271" i="2" a="1"/>
  <c r="F280" i="2" a="1"/>
  <c r="F306" i="2" a="1"/>
  <c r="F313" i="2" a="1"/>
  <c r="F323" i="2" a="1"/>
  <c r="F353" i="2" a="1"/>
  <c r="F360" i="2" a="1"/>
  <c r="F385" i="2" a="1"/>
  <c r="F392" i="2" a="1"/>
  <c r="F417" i="2" a="1"/>
  <c r="F424" i="2" a="1"/>
  <c r="F430" i="2" a="1"/>
  <c r="F446" i="2" a="1"/>
  <c r="F462" i="2" a="1"/>
  <c r="F478" i="2" a="1"/>
  <c r="F493" i="2" a="1"/>
  <c r="F498" i="2" a="1"/>
  <c r="F507" i="2" a="1"/>
  <c r="F516" i="2" a="1"/>
  <c r="F553" i="2" a="1"/>
  <c r="F565" i="2" a="1"/>
  <c r="F573" i="2" a="1"/>
  <c r="F581" i="2" a="1"/>
  <c r="F589" i="2" a="1"/>
  <c r="F597" i="2" a="1"/>
  <c r="F605" i="2" a="1"/>
  <c r="F613" i="2" a="1"/>
  <c r="F621" i="2" a="1"/>
  <c r="F629" i="2" a="1"/>
  <c r="F637" i="2" a="1"/>
  <c r="F645" i="2" a="1"/>
  <c r="F653" i="2" a="1"/>
  <c r="F69" i="2" a="1"/>
  <c r="F123" i="2" a="1"/>
  <c r="F133" i="2" a="1"/>
  <c r="F187" i="2" a="1"/>
  <c r="F205" i="2" a="1"/>
  <c r="F29" i="2" a="1"/>
  <c r="F83" i="2" a="1"/>
  <c r="F93" i="2" a="1"/>
  <c r="F147" i="2" a="1"/>
  <c r="F157" i="2" a="1"/>
  <c r="F212" i="2" a="1"/>
  <c r="F221" i="2" a="1"/>
  <c r="F230" i="2" a="1"/>
  <c r="F238" i="2" a="1"/>
  <c r="F255" i="2" a="1"/>
  <c r="F264" i="2" a="1"/>
  <c r="F290" i="2" a="1"/>
  <c r="F297" i="2" a="1"/>
  <c r="F307" i="2" a="1"/>
  <c r="F340" i="2" a="1"/>
  <c r="F348" i="2" a="1"/>
  <c r="F373" i="2" a="1"/>
  <c r="F380" i="2" a="1"/>
  <c r="F405" i="2" a="1"/>
  <c r="F412" i="2" a="1"/>
  <c r="F436" i="2" a="1"/>
  <c r="F441" i="2" a="1"/>
  <c r="F452" i="2" a="1"/>
  <c r="F457" i="2" a="1"/>
  <c r="F468" i="2" a="1"/>
  <c r="F473" i="2" a="1"/>
  <c r="F484" i="2" a="1"/>
  <c r="F489" i="2" a="1"/>
  <c r="F494" i="2" a="1"/>
  <c r="F503" i="2" a="1"/>
  <c r="F512" i="2" a="1"/>
  <c r="F521" i="2" a="1"/>
  <c r="F525" i="2" a="1"/>
  <c r="F529" i="2" a="1"/>
  <c r="F533" i="2" a="1"/>
  <c r="F537" i="2" a="1"/>
  <c r="F541" i="2" a="1"/>
  <c r="F545" i="2" a="1"/>
  <c r="F549" i="2" a="1"/>
  <c r="F557" i="2" a="1"/>
  <c r="F561" i="2" a="1"/>
  <c r="F569" i="2" a="1"/>
  <c r="F577" i="2" a="1"/>
  <c r="F585" i="2" a="1"/>
  <c r="F593" i="2" a="1"/>
  <c r="F601" i="2" a="1"/>
  <c r="F609" i="2" a="1"/>
  <c r="F617" i="2" a="1"/>
  <c r="F625" i="2" a="1"/>
  <c r="F633" i="2" a="1"/>
  <c r="F641" i="2" a="1"/>
  <c r="F649" i="2" a="1"/>
  <c r="F59" i="2" a="1"/>
  <c r="F17" i="2" a="1"/>
  <c r="F35" i="2" a="1"/>
  <c r="F45" i="2" a="1"/>
  <c r="F99" i="2" a="1"/>
  <c r="F109" i="2" a="1"/>
  <c r="F163" i="2" a="1"/>
  <c r="F173" i="2" a="1"/>
  <c r="F198" i="2" a="1"/>
  <c r="F206" i="2" a="1"/>
  <c r="F223" i="2" a="1"/>
  <c r="F232" i="2" a="1"/>
  <c r="F258" i="2" a="1"/>
  <c r="F265" i="2" a="1"/>
  <c r="F275" i="2" a="1"/>
  <c r="F308" i="2" a="1"/>
  <c r="F317" i="2" a="1"/>
  <c r="F326" i="2" a="1"/>
  <c r="F334" i="2" a="1"/>
  <c r="F349" i="2" a="1"/>
  <c r="F356" i="2" a="1"/>
  <c r="F381" i="2" a="1"/>
  <c r="F388" i="2" a="1"/>
  <c r="F413" i="2" a="1"/>
  <c r="F420" i="2" a="1"/>
  <c r="F432" i="2" a="1"/>
  <c r="F437" i="2" a="1"/>
  <c r="F448" i="2" a="1"/>
  <c r="F453" i="2" a="1"/>
  <c r="F464" i="2" a="1"/>
  <c r="F469" i="2" a="1"/>
  <c r="F480" i="2" a="1"/>
  <c r="F485" i="2" a="1"/>
  <c r="F495" i="2" a="1"/>
  <c r="F504" i="2" a="1"/>
  <c r="F513" i="2" a="1"/>
  <c r="F518" i="2" a="1"/>
  <c r="F522" i="2" a="1"/>
  <c r="F526" i="2" a="1"/>
  <c r="F530" i="2" a="1"/>
  <c r="F534" i="2" a="1"/>
  <c r="F538" i="2" a="1"/>
  <c r="F542" i="2" a="1"/>
  <c r="F546" i="2" a="1"/>
  <c r="F550" i="2" a="1"/>
  <c r="F554" i="2" a="1"/>
  <c r="F558" i="2" a="1"/>
  <c r="F562" i="2" a="1"/>
  <c r="F566" i="2" a="1"/>
  <c r="F570" i="2" a="1"/>
  <c r="F574" i="2" a="1"/>
  <c r="F578" i="2" a="1"/>
  <c r="F582" i="2" a="1"/>
  <c r="F586" i="2" a="1"/>
  <c r="F590" i="2" a="1"/>
  <c r="F594" i="2" a="1"/>
  <c r="F598" i="2" a="1"/>
  <c r="F602" i="2" a="1"/>
  <c r="F606" i="2" a="1"/>
  <c r="F610" i="2" a="1"/>
  <c r="F614" i="2" a="1"/>
  <c r="F618" i="2" a="1"/>
  <c r="F622" i="2" a="1"/>
  <c r="F626" i="2" a="1"/>
  <c r="F630" i="2" a="1"/>
  <c r="F634" i="2" a="1"/>
  <c r="F638" i="2" a="1"/>
  <c r="F642" i="2" a="1"/>
  <c r="F646" i="2" a="1"/>
  <c r="F650" i="2" a="1"/>
  <c r="F654" i="2" a="1"/>
  <c r="F75" i="2" a="1"/>
  <c r="F85" i="2" a="1"/>
  <c r="F139" i="2" a="1"/>
  <c r="F149" i="2" a="1"/>
  <c r="F115" i="2" a="1"/>
  <c r="F482" i="2" a="1"/>
  <c r="F312" i="2" a="1"/>
  <c r="F466" i="2" a="1"/>
  <c r="F520" i="2" a="1"/>
  <c r="F559" i="2" a="1"/>
  <c r="F648" i="2" a="1"/>
  <c r="F155" i="2" a="1"/>
  <c r="F301" i="2" a="1"/>
  <c r="F442" i="2" a="1"/>
  <c r="F500" i="2" a="1"/>
  <c r="F547" i="2" a="1"/>
  <c r="F636" i="2" a="1"/>
  <c r="F274" i="2" a="1"/>
  <c r="F25" i="2" a="1"/>
  <c r="F91" i="2" a="1"/>
  <c r="F125" i="2" a="1"/>
  <c r="F189" i="2" a="1"/>
  <c r="F207" i="2" a="1"/>
  <c r="F233" i="2" a="1"/>
  <c r="F248" i="2" a="1"/>
  <c r="F260" i="2" a="1"/>
  <c r="F287" i="2" a="1"/>
  <c r="F302" i="2" a="1"/>
  <c r="F344" i="2" a="1"/>
  <c r="F364" i="2" a="1"/>
  <c r="F384" i="2" a="1"/>
  <c r="F404" i="2" a="1"/>
  <c r="F425" i="2" a="1"/>
  <c r="F434" i="2" a="1"/>
  <c r="F460" i="2" a="1"/>
  <c r="F486" i="2" a="1"/>
  <c r="F508" i="2" a="1"/>
  <c r="F515" i="2" a="1"/>
  <c r="F528" i="2" a="1"/>
  <c r="F535" i="2" a="1"/>
  <c r="F560" i="2" a="1"/>
  <c r="F567" i="2" a="1"/>
  <c r="F592" i="2" a="1"/>
  <c r="F599" i="2" a="1"/>
  <c r="F624" i="2" a="1"/>
  <c r="F631" i="2" a="1"/>
  <c r="F555" i="2" a="1"/>
  <c r="F587" i="2" a="1"/>
  <c r="F612" i="2" a="1"/>
  <c r="F644" i="2" a="1"/>
  <c r="F131" i="2" a="1"/>
  <c r="F165" i="2" a="1"/>
  <c r="F194" i="2" a="1"/>
  <c r="F210" i="2" a="1"/>
  <c r="F278" i="2" a="1"/>
  <c r="F319" i="2" a="1"/>
  <c r="F345" i="2" a="1"/>
  <c r="F408" i="2" a="1"/>
  <c r="F428" i="2" a="1"/>
  <c r="F454" i="2" a="1"/>
  <c r="F510" i="2" a="1"/>
  <c r="F536" i="2" a="1"/>
  <c r="F568" i="2" a="1"/>
  <c r="F600" i="2" a="1"/>
  <c r="F632" i="2" a="1"/>
  <c r="F647" i="2" a="1"/>
  <c r="F141" i="2" a="1"/>
  <c r="F216" i="2" a="1"/>
  <c r="F269" i="2" a="1"/>
  <c r="F324" i="2" a="1"/>
  <c r="F401" i="2" a="1"/>
  <c r="F456" i="2" a="1"/>
  <c r="F491" i="2" a="1"/>
  <c r="F505" i="2" a="1"/>
  <c r="F532" i="2" a="1"/>
  <c r="F571" i="2" a="1"/>
  <c r="F635" i="2" a="1"/>
  <c r="F51" i="2" a="1"/>
  <c r="F270" i="2" a="1"/>
  <c r="F458" i="2" a="1"/>
  <c r="F514" i="2" a="1"/>
  <c r="F552" i="2" a="1"/>
  <c r="F591" i="2" a="1"/>
  <c r="F623" i="2" a="1"/>
  <c r="F244" i="2" a="1"/>
  <c r="F342" i="2" a="1"/>
  <c r="F393" i="2" a="1"/>
  <c r="F492" i="2" a="1"/>
  <c r="F579" i="2" a="1"/>
  <c r="F611" i="2" a="1"/>
  <c r="F61" i="2" a="1"/>
  <c r="F222" i="2" a="1"/>
  <c r="F249" i="2" a="1"/>
  <c r="F262" i="2" a="1"/>
  <c r="F276" i="2" a="1"/>
  <c r="F291" i="2" a="1"/>
  <c r="F303" i="2" a="1"/>
  <c r="F318" i="2" a="1"/>
  <c r="F329" i="2" a="1"/>
  <c r="F376" i="2" a="1"/>
  <c r="F396" i="2" a="1"/>
  <c r="F416" i="2" a="1"/>
  <c r="F444" i="2" a="1"/>
  <c r="F470" i="2" a="1"/>
  <c r="F477" i="2" a="1"/>
  <c r="F501" i="2" a="1"/>
  <c r="F509" i="2" a="1"/>
  <c r="F523" i="2" a="1"/>
  <c r="F548" i="2" a="1"/>
  <c r="F580" i="2" a="1"/>
  <c r="F619" i="2" a="1"/>
  <c r="F651" i="2" a="1"/>
  <c r="F292" i="2" a="1"/>
  <c r="F333" i="2" a="1"/>
  <c r="F365" i="2" a="1"/>
  <c r="F461" i="2" a="1"/>
  <c r="F502" i="2" a="1"/>
  <c r="F517" i="2" a="1"/>
  <c r="F543" i="2" a="1"/>
  <c r="F575" i="2" a="1"/>
  <c r="F607" i="2" a="1"/>
  <c r="F639" i="2" a="1"/>
  <c r="F615" i="2" a="1"/>
  <c r="F474" i="2" a="1"/>
  <c r="F596" i="2" a="1"/>
  <c r="F628" i="2" a="1"/>
  <c r="F77" i="2" a="1"/>
  <c r="F499" i="2" a="1"/>
  <c r="F328" i="2" a="1"/>
  <c r="F433" i="2" a="1"/>
  <c r="F564" i="2" a="1"/>
  <c r="F339" i="2" a="1"/>
  <c r="F440" i="2" a="1"/>
  <c r="F527" i="2" a="1"/>
  <c r="F616" i="2" a="1"/>
  <c r="F217" i="2" a="1"/>
  <c r="F352" i="2" a="1"/>
  <c r="F476" i="2" a="1"/>
  <c r="F540" i="2" a="1"/>
  <c r="F604" i="2" a="1"/>
  <c r="F37" i="2" a="1"/>
  <c r="F67" i="2" a="1"/>
  <c r="F101" i="2" a="1"/>
  <c r="F196" i="2" a="1"/>
  <c r="F211" i="2" a="1"/>
  <c r="F226" i="2" a="1"/>
  <c r="F239" i="2" a="1"/>
  <c r="F294" i="2" a="1"/>
  <c r="F335" i="2" a="1"/>
  <c r="F357" i="2" a="1"/>
  <c r="F368" i="2" a="1"/>
  <c r="F377" i="2" a="1"/>
  <c r="F397" i="2" a="1"/>
  <c r="F438" i="2" a="1"/>
  <c r="F445" i="2" a="1"/>
  <c r="F488" i="2" a="1"/>
  <c r="F496" i="2" a="1"/>
  <c r="F524" i="2" a="1"/>
  <c r="F531" i="2" a="1"/>
  <c r="F556" i="2" a="1"/>
  <c r="F563" i="2" a="1"/>
  <c r="F588" i="2" a="1"/>
  <c r="F595" i="2" a="1"/>
  <c r="F620" i="2" a="1"/>
  <c r="F627" i="2" a="1"/>
  <c r="F652" i="2" a="1"/>
  <c r="F179" i="2" a="1"/>
  <c r="F214" i="2" a="1"/>
  <c r="F227" i="2" a="1"/>
  <c r="F242" i="2" a="1"/>
  <c r="F253" i="2" a="1"/>
  <c r="F281" i="2" a="1"/>
  <c r="F310" i="2" a="1"/>
  <c r="F322" i="2" a="1"/>
  <c r="F369" i="2" a="1"/>
  <c r="F389" i="2" a="1"/>
  <c r="F400" i="2" a="1"/>
  <c r="F409" i="2" a="1"/>
  <c r="F429" i="2" a="1"/>
  <c r="F472" i="2" a="1"/>
  <c r="F481" i="2" a="1"/>
  <c r="F490" i="2" a="1"/>
  <c r="F511" i="2" a="1"/>
  <c r="F519" i="2" a="1"/>
  <c r="F544" i="2" a="1"/>
  <c r="F551" i="2" a="1"/>
  <c r="F576" i="2" a="1"/>
  <c r="F583" i="2" a="1"/>
  <c r="F608" i="2" a="1"/>
  <c r="F640" i="2" a="1"/>
  <c r="F200" i="2" a="1"/>
  <c r="F243" i="2" a="1"/>
  <c r="F296" i="2" a="1"/>
  <c r="F338" i="2" a="1"/>
  <c r="F421" i="2" a="1"/>
  <c r="F465" i="2" a="1"/>
  <c r="F497" i="2" a="1"/>
  <c r="F539" i="2" a="1"/>
  <c r="F603" i="2" a="1"/>
  <c r="F259" i="2" a="1"/>
  <c r="F285" i="2" a="1"/>
  <c r="F361" i="2" a="1"/>
  <c r="F449" i="2" a="1"/>
  <c r="F506" i="2" a="1"/>
  <c r="F584" i="2" a="1"/>
  <c r="F201" i="2" a="1"/>
  <c r="F286" i="2" a="1"/>
  <c r="F372" i="2" a="1"/>
  <c r="F450" i="2" a="1"/>
  <c r="F572" i="2" a="1"/>
  <c r="F643" i="2" a="1"/>
  <c r="F4" i="2" a="1"/>
  <c r="F643" i="2" l="1"/>
  <c r="F572" i="2"/>
  <c r="F450" i="2"/>
  <c r="F372" i="2"/>
  <c r="F286" i="2"/>
  <c r="F201" i="2"/>
  <c r="F584" i="2"/>
  <c r="F506" i="2"/>
  <c r="F449" i="2"/>
  <c r="F361" i="2"/>
  <c r="F285" i="2"/>
  <c r="F259" i="2"/>
  <c r="F603" i="2"/>
  <c r="F539" i="2"/>
  <c r="F497" i="2"/>
  <c r="F465" i="2"/>
  <c r="F421" i="2"/>
  <c r="F338" i="2"/>
  <c r="F296" i="2"/>
  <c r="F243" i="2"/>
  <c r="F200" i="2"/>
  <c r="F640" i="2"/>
  <c r="F608" i="2"/>
  <c r="F583" i="2"/>
  <c r="F576" i="2"/>
  <c r="F551" i="2"/>
  <c r="F544" i="2"/>
  <c r="F519" i="2"/>
  <c r="F511" i="2"/>
  <c r="F490" i="2"/>
  <c r="F481" i="2"/>
  <c r="F472" i="2"/>
  <c r="F429" i="2"/>
  <c r="F409" i="2"/>
  <c r="F400" i="2"/>
  <c r="F389" i="2"/>
  <c r="F369" i="2"/>
  <c r="F322" i="2"/>
  <c r="F310" i="2"/>
  <c r="F281" i="2"/>
  <c r="F253" i="2"/>
  <c r="F242" i="2"/>
  <c r="F227" i="2"/>
  <c r="F214" i="2"/>
  <c r="F179" i="2"/>
  <c r="F652" i="2"/>
  <c r="F627" i="2"/>
  <c r="F620" i="2"/>
  <c r="F595" i="2"/>
  <c r="F588" i="2"/>
  <c r="F563" i="2"/>
  <c r="F556" i="2"/>
  <c r="F531" i="2"/>
  <c r="F524" i="2"/>
  <c r="F496" i="2"/>
  <c r="F488" i="2"/>
  <c r="F445" i="2"/>
  <c r="F438" i="2"/>
  <c r="F397" i="2"/>
  <c r="F377" i="2"/>
  <c r="F368" i="2"/>
  <c r="F357" i="2"/>
  <c r="F335" i="2"/>
  <c r="F294" i="2"/>
  <c r="F239" i="2"/>
  <c r="F226" i="2"/>
  <c r="F211" i="2"/>
  <c r="F196" i="2"/>
  <c r="F101" i="2"/>
  <c r="F67" i="2"/>
  <c r="F37" i="2"/>
  <c r="F604" i="2"/>
  <c r="F540" i="2"/>
  <c r="F476" i="2"/>
  <c r="F352" i="2"/>
  <c r="F217" i="2"/>
  <c r="F616" i="2"/>
  <c r="F527" i="2"/>
  <c r="F440" i="2"/>
  <c r="F339" i="2"/>
  <c r="F564" i="2"/>
  <c r="F433" i="2"/>
  <c r="F328" i="2"/>
  <c r="F499" i="2"/>
  <c r="F77" i="2"/>
  <c r="F628" i="2"/>
  <c r="F596" i="2"/>
  <c r="F474" i="2"/>
  <c r="F615" i="2"/>
  <c r="F639" i="2"/>
  <c r="F607" i="2"/>
  <c r="F575" i="2"/>
  <c r="F543" i="2"/>
  <c r="F517" i="2"/>
  <c r="F502" i="2"/>
  <c r="F461" i="2"/>
  <c r="F365" i="2"/>
  <c r="F333" i="2"/>
  <c r="F292" i="2"/>
  <c r="F651" i="2"/>
  <c r="F619" i="2"/>
  <c r="F580" i="2"/>
  <c r="F548" i="2"/>
  <c r="F523" i="2"/>
  <c r="F509" i="2"/>
  <c r="F501" i="2"/>
  <c r="F477" i="2"/>
  <c r="F470" i="2"/>
  <c r="F444" i="2"/>
  <c r="F416" i="2"/>
  <c r="F396" i="2"/>
  <c r="F376" i="2"/>
  <c r="F329" i="2"/>
  <c r="F318" i="2"/>
  <c r="F303" i="2"/>
  <c r="F291" i="2"/>
  <c r="F276" i="2"/>
  <c r="F262" i="2"/>
  <c r="F249" i="2"/>
  <c r="F222" i="2"/>
  <c r="F61" i="2"/>
  <c r="F611" i="2"/>
  <c r="F579" i="2"/>
  <c r="F492" i="2"/>
  <c r="F393" i="2"/>
  <c r="F342" i="2"/>
  <c r="F244" i="2"/>
  <c r="F623" i="2"/>
  <c r="F591" i="2"/>
  <c r="F552" i="2"/>
  <c r="F514" i="2"/>
  <c r="F458" i="2"/>
  <c r="F270" i="2"/>
  <c r="F51" i="2"/>
  <c r="F635" i="2"/>
  <c r="F571" i="2"/>
  <c r="F532" i="2"/>
  <c r="F505" i="2"/>
  <c r="F491" i="2"/>
  <c r="F456" i="2"/>
  <c r="F401" i="2"/>
  <c r="F324" i="2"/>
  <c r="F269" i="2"/>
  <c r="F216" i="2"/>
  <c r="F141" i="2"/>
  <c r="F647" i="2"/>
  <c r="F632" i="2"/>
  <c r="F600" i="2"/>
  <c r="F568" i="2"/>
  <c r="F536" i="2"/>
  <c r="F510" i="2"/>
  <c r="F454" i="2"/>
  <c r="F428" i="2"/>
  <c r="F408" i="2"/>
  <c r="F345" i="2"/>
  <c r="F319" i="2"/>
  <c r="F278" i="2"/>
  <c r="F210" i="2"/>
  <c r="F194" i="2"/>
  <c r="F165" i="2"/>
  <c r="F131" i="2"/>
  <c r="F644" i="2"/>
  <c r="F612" i="2"/>
  <c r="F587" i="2"/>
  <c r="F555" i="2"/>
  <c r="F631" i="2"/>
  <c r="F624" i="2"/>
  <c r="F599" i="2"/>
  <c r="F592" i="2"/>
  <c r="F567" i="2"/>
  <c r="F560" i="2"/>
  <c r="F535" i="2"/>
  <c r="F528" i="2"/>
  <c r="F515" i="2"/>
  <c r="F508" i="2"/>
  <c r="F486" i="2"/>
  <c r="F460" i="2"/>
  <c r="F434" i="2"/>
  <c r="F425" i="2"/>
  <c r="F404" i="2"/>
  <c r="F384" i="2"/>
  <c r="F364" i="2"/>
  <c r="F344" i="2"/>
  <c r="F302" i="2"/>
  <c r="F287" i="2"/>
  <c r="F260" i="2"/>
  <c r="F248" i="2"/>
  <c r="F233" i="2"/>
  <c r="F207" i="2"/>
  <c r="F189" i="2"/>
  <c r="F125" i="2"/>
  <c r="F91" i="2"/>
  <c r="F25" i="2"/>
  <c r="F274" i="2"/>
  <c r="F636" i="2"/>
  <c r="F547" i="2"/>
  <c r="F500" i="2"/>
  <c r="F442" i="2"/>
  <c r="F301" i="2"/>
  <c r="F155" i="2"/>
  <c r="F648" i="2"/>
  <c r="F559" i="2"/>
  <c r="F520" i="2"/>
  <c r="F466" i="2"/>
  <c r="F312" i="2"/>
  <c r="F482" i="2"/>
  <c r="F115" i="2"/>
  <c r="F149" i="2"/>
  <c r="F139" i="2"/>
  <c r="F85" i="2"/>
  <c r="F75" i="2"/>
  <c r="F654" i="2"/>
  <c r="F650" i="2"/>
  <c r="F646" i="2"/>
  <c r="F642" i="2"/>
  <c r="F638" i="2"/>
  <c r="F634" i="2"/>
  <c r="F630" i="2"/>
  <c r="F626" i="2"/>
  <c r="F622" i="2"/>
  <c r="F618" i="2"/>
  <c r="F614" i="2"/>
  <c r="F610" i="2"/>
  <c r="F606" i="2"/>
  <c r="F602" i="2"/>
  <c r="F598" i="2"/>
  <c r="F594" i="2"/>
  <c r="F590" i="2"/>
  <c r="F586" i="2"/>
  <c r="F582" i="2"/>
  <c r="F578" i="2"/>
  <c r="F574" i="2"/>
  <c r="F570" i="2"/>
  <c r="F566" i="2"/>
  <c r="F562" i="2"/>
  <c r="F558" i="2"/>
  <c r="F554" i="2"/>
  <c r="F550" i="2"/>
  <c r="F546" i="2"/>
  <c r="F542" i="2"/>
  <c r="F538" i="2"/>
  <c r="F534" i="2"/>
  <c r="F530" i="2"/>
  <c r="F526" i="2"/>
  <c r="F522" i="2"/>
  <c r="F518" i="2"/>
  <c r="F513" i="2"/>
  <c r="F504" i="2"/>
  <c r="F495" i="2"/>
  <c r="F485" i="2"/>
  <c r="F480" i="2"/>
  <c r="F469" i="2"/>
  <c r="F464" i="2"/>
  <c r="F453" i="2"/>
  <c r="F448" i="2"/>
  <c r="F437" i="2"/>
  <c r="F432" i="2"/>
  <c r="F420" i="2"/>
  <c r="F413" i="2"/>
  <c r="F388" i="2"/>
  <c r="F381" i="2"/>
  <c r="F356" i="2"/>
  <c r="F349" i="2"/>
  <c r="F334" i="2"/>
  <c r="F326" i="2"/>
  <c r="F317" i="2"/>
  <c r="F308" i="2"/>
  <c r="F275" i="2"/>
  <c r="F265" i="2"/>
  <c r="F258" i="2"/>
  <c r="F232" i="2"/>
  <c r="F223" i="2"/>
  <c r="F206" i="2"/>
  <c r="F198" i="2"/>
  <c r="F173" i="2"/>
  <c r="F163" i="2"/>
  <c r="F109" i="2"/>
  <c r="F99" i="2"/>
  <c r="F45" i="2"/>
  <c r="F35" i="2"/>
  <c r="F17" i="2"/>
  <c r="F59" i="2"/>
  <c r="F649" i="2"/>
  <c r="F641" i="2"/>
  <c r="F633" i="2"/>
  <c r="F625" i="2"/>
  <c r="F617" i="2"/>
  <c r="F609" i="2"/>
  <c r="F601" i="2"/>
  <c r="F593" i="2"/>
  <c r="F585" i="2"/>
  <c r="F577" i="2"/>
  <c r="F569" i="2"/>
  <c r="F561" i="2"/>
  <c r="F557" i="2"/>
  <c r="F549" i="2"/>
  <c r="F545" i="2"/>
  <c r="F541" i="2"/>
  <c r="F537" i="2"/>
  <c r="F533" i="2"/>
  <c r="F529" i="2"/>
  <c r="F525" i="2"/>
  <c r="F521" i="2"/>
  <c r="F512" i="2"/>
  <c r="F503" i="2"/>
  <c r="F494" i="2"/>
  <c r="F489" i="2"/>
  <c r="F484" i="2"/>
  <c r="F473" i="2"/>
  <c r="F468" i="2"/>
  <c r="F457" i="2"/>
  <c r="F452" i="2"/>
  <c r="F441" i="2"/>
  <c r="F436" i="2"/>
  <c r="F412" i="2"/>
  <c r="F405" i="2"/>
  <c r="F380" i="2"/>
  <c r="F373" i="2"/>
  <c r="F348" i="2"/>
  <c r="F340" i="2"/>
  <c r="F307" i="2"/>
  <c r="F297" i="2"/>
  <c r="F290" i="2"/>
  <c r="F264" i="2"/>
  <c r="F255" i="2"/>
  <c r="F238" i="2"/>
  <c r="F230" i="2"/>
  <c r="F221" i="2"/>
  <c r="F212" i="2"/>
  <c r="F157" i="2"/>
  <c r="F147" i="2"/>
  <c r="F93" i="2"/>
  <c r="F83" i="2"/>
  <c r="F29" i="2"/>
  <c r="F205" i="2"/>
  <c r="F187" i="2"/>
  <c r="F133" i="2"/>
  <c r="F123" i="2"/>
  <c r="F69" i="2"/>
  <c r="F653" i="2"/>
  <c r="F645" i="2"/>
  <c r="F637" i="2"/>
  <c r="F629" i="2"/>
  <c r="F621" i="2"/>
  <c r="F613" i="2"/>
  <c r="F605" i="2"/>
  <c r="F597" i="2"/>
  <c r="F589" i="2"/>
  <c r="F581" i="2"/>
  <c r="F573" i="2"/>
  <c r="F565" i="2"/>
  <c r="F553" i="2"/>
  <c r="F516" i="2"/>
  <c r="F507" i="2"/>
  <c r="F498" i="2"/>
  <c r="F493" i="2"/>
  <c r="F478" i="2"/>
  <c r="F462" i="2"/>
  <c r="F446" i="2"/>
  <c r="F430" i="2"/>
  <c r="F424" i="2"/>
  <c r="F417" i="2"/>
  <c r="F392" i="2"/>
  <c r="F385" i="2"/>
  <c r="F360" i="2"/>
  <c r="F353" i="2"/>
  <c r="F323" i="2"/>
  <c r="F313" i="2"/>
  <c r="F306" i="2"/>
  <c r="F280" i="2"/>
  <c r="F271" i="2"/>
  <c r="F254" i="2"/>
  <c r="F246" i="2"/>
  <c r="F237" i="2"/>
  <c r="F228" i="2"/>
  <c r="F195" i="2"/>
  <c r="F181" i="2"/>
  <c r="F171" i="2"/>
  <c r="F117" i="2"/>
  <c r="F107" i="2"/>
  <c r="F53" i="2"/>
  <c r="F43" i="2"/>
  <c r="F5" i="2"/>
  <c r="F487" i="2"/>
  <c r="F483" i="2"/>
  <c r="F479" i="2"/>
  <c r="F475" i="2"/>
  <c r="F471" i="2"/>
  <c r="F467" i="2"/>
  <c r="F463" i="2"/>
  <c r="F459" i="2"/>
  <c r="F455" i="2"/>
  <c r="F451" i="2"/>
  <c r="F447" i="2"/>
  <c r="F443" i="2"/>
  <c r="F439" i="2"/>
  <c r="F435" i="2"/>
  <c r="F431" i="2"/>
  <c r="F427" i="2"/>
  <c r="F423" i="2"/>
  <c r="F419" i="2"/>
  <c r="F415" i="2"/>
  <c r="F411" i="2"/>
  <c r="F407" i="2"/>
  <c r="F403" i="2"/>
  <c r="F399" i="2"/>
  <c r="F395" i="2"/>
  <c r="F391" i="2"/>
  <c r="F387" i="2"/>
  <c r="F383" i="2"/>
  <c r="F379" i="2"/>
  <c r="F375" i="2"/>
  <c r="F371" i="2"/>
  <c r="F367" i="2"/>
  <c r="F363" i="2"/>
  <c r="F359" i="2"/>
  <c r="F355" i="2"/>
  <c r="F351" i="2"/>
  <c r="F347" i="2"/>
  <c r="F343" i="2"/>
  <c r="F337" i="2"/>
  <c r="F332" i="2"/>
  <c r="F327" i="2"/>
  <c r="F321" i="2"/>
  <c r="F316" i="2"/>
  <c r="F311" i="2"/>
  <c r="F305" i="2"/>
  <c r="F300" i="2"/>
  <c r="F295" i="2"/>
  <c r="F289" i="2"/>
  <c r="F284" i="2"/>
  <c r="F279" i="2"/>
  <c r="F273" i="2"/>
  <c r="F268" i="2"/>
  <c r="F263" i="2"/>
  <c r="F257" i="2"/>
  <c r="F252" i="2"/>
  <c r="F247" i="2"/>
  <c r="F241" i="2"/>
  <c r="F236" i="2"/>
  <c r="F231" i="2"/>
  <c r="F225" i="2"/>
  <c r="F220" i="2"/>
  <c r="F215" i="2"/>
  <c r="F209" i="2"/>
  <c r="F204" i="2"/>
  <c r="F199" i="2"/>
  <c r="F193" i="2"/>
  <c r="F185" i="2"/>
  <c r="F177" i="2"/>
  <c r="F169" i="2"/>
  <c r="F161" i="2"/>
  <c r="F153" i="2"/>
  <c r="F145" i="2"/>
  <c r="F137" i="2"/>
  <c r="F129" i="2"/>
  <c r="F121" i="2"/>
  <c r="F113" i="2"/>
  <c r="F105" i="2"/>
  <c r="F97" i="2"/>
  <c r="F89" i="2"/>
  <c r="F81" i="2"/>
  <c r="F73" i="2"/>
  <c r="F65" i="2"/>
  <c r="F57" i="2"/>
  <c r="F49" i="2"/>
  <c r="F41" i="2"/>
  <c r="F33" i="2"/>
  <c r="F13" i="2"/>
  <c r="F426" i="2"/>
  <c r="F422" i="2"/>
  <c r="F418" i="2"/>
  <c r="F414" i="2"/>
  <c r="F410" i="2"/>
  <c r="F406" i="2"/>
  <c r="F402" i="2"/>
  <c r="F398" i="2"/>
  <c r="F394" i="2"/>
  <c r="F390" i="2"/>
  <c r="F386" i="2"/>
  <c r="F382" i="2"/>
  <c r="F378" i="2"/>
  <c r="F374" i="2"/>
  <c r="F370" i="2"/>
  <c r="F366" i="2"/>
  <c r="F362" i="2"/>
  <c r="F358" i="2"/>
  <c r="F354" i="2"/>
  <c r="F350" i="2"/>
  <c r="F346" i="2"/>
  <c r="F341" i="2"/>
  <c r="F336" i="2"/>
  <c r="F331" i="2"/>
  <c r="F325" i="2"/>
  <c r="F320" i="2"/>
  <c r="F315" i="2"/>
  <c r="F309" i="2"/>
  <c r="F304" i="2"/>
  <c r="F299" i="2"/>
  <c r="F293" i="2"/>
  <c r="F288" i="2"/>
  <c r="F283" i="2"/>
  <c r="F277" i="2"/>
  <c r="F272" i="2"/>
  <c r="F267" i="2"/>
  <c r="F261" i="2"/>
  <c r="F256" i="2"/>
  <c r="F251" i="2"/>
  <c r="F245" i="2"/>
  <c r="F240" i="2"/>
  <c r="F235" i="2"/>
  <c r="F229" i="2"/>
  <c r="F224" i="2"/>
  <c r="F219" i="2"/>
  <c r="F213" i="2"/>
  <c r="F208" i="2"/>
  <c r="F203" i="2"/>
  <c r="F197" i="2"/>
  <c r="F21" i="2"/>
  <c r="F330" i="2"/>
  <c r="F314" i="2"/>
  <c r="F298" i="2"/>
  <c r="F282" i="2"/>
  <c r="F266" i="2"/>
  <c r="F250" i="2"/>
  <c r="F234" i="2"/>
  <c r="F218" i="2"/>
  <c r="F202" i="2"/>
  <c r="F191" i="2"/>
  <c r="F183" i="2"/>
  <c r="F175" i="2"/>
  <c r="F167" i="2"/>
  <c r="F159" i="2"/>
  <c r="F151" i="2"/>
  <c r="F143" i="2"/>
  <c r="F135" i="2"/>
  <c r="F127" i="2"/>
  <c r="F119" i="2"/>
  <c r="F111" i="2"/>
  <c r="F103" i="2"/>
  <c r="F95" i="2"/>
  <c r="F87" i="2"/>
  <c r="F79" i="2"/>
  <c r="F71" i="2"/>
  <c r="F63" i="2"/>
  <c r="F55" i="2"/>
  <c r="F47" i="2"/>
  <c r="F39" i="2"/>
  <c r="F31" i="2"/>
  <c r="F9" i="2"/>
  <c r="F192" i="2"/>
  <c r="F188" i="2"/>
  <c r="F184" i="2"/>
  <c r="F180" i="2"/>
  <c r="F176" i="2"/>
  <c r="F172" i="2"/>
  <c r="F168" i="2"/>
  <c r="F164" i="2"/>
  <c r="F160" i="2"/>
  <c r="F156" i="2"/>
  <c r="F152" i="2"/>
  <c r="F148" i="2"/>
  <c r="F144" i="2"/>
  <c r="F140" i="2"/>
  <c r="F136" i="2"/>
  <c r="F132" i="2"/>
  <c r="F128" i="2"/>
  <c r="F124" i="2"/>
  <c r="F120" i="2"/>
  <c r="F116" i="2"/>
  <c r="F112" i="2"/>
  <c r="F108" i="2"/>
  <c r="F104" i="2"/>
  <c r="F100" i="2"/>
  <c r="F96" i="2"/>
  <c r="F92" i="2"/>
  <c r="F88" i="2"/>
  <c r="F84" i="2"/>
  <c r="F80" i="2"/>
  <c r="F76" i="2"/>
  <c r="F72" i="2"/>
  <c r="F68" i="2"/>
  <c r="F64" i="2"/>
  <c r="F60" i="2"/>
  <c r="F56" i="2"/>
  <c r="F52" i="2"/>
  <c r="F48" i="2"/>
  <c r="F44" i="2"/>
  <c r="F40" i="2"/>
  <c r="F36" i="2"/>
  <c r="F32" i="2"/>
  <c r="F28" i="2"/>
  <c r="F24" i="2"/>
  <c r="F20" i="2"/>
  <c r="F16" i="2"/>
  <c r="F12" i="2"/>
  <c r="F8" i="2"/>
  <c r="F27" i="2"/>
  <c r="F23" i="2"/>
  <c r="F19" i="2"/>
  <c r="F15" i="2"/>
  <c r="F11" i="2"/>
  <c r="F7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10" i="2"/>
  <c r="F6" i="2"/>
  <c r="F4" i="2"/>
  <c r="M15" i="2" a="1"/>
  <c r="J5" i="2" a="1"/>
  <c r="J7" i="2" a="1"/>
  <c r="J11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99" i="2" a="1"/>
  <c r="J103" i="2" a="1"/>
  <c r="J107" i="2" a="1"/>
  <c r="J111" i="2" a="1"/>
  <c r="J115" i="2" a="1"/>
  <c r="J119" i="2" a="1"/>
  <c r="J123" i="2" a="1"/>
  <c r="J127" i="2" a="1"/>
  <c r="J131" i="2" a="1"/>
  <c r="J135" i="2" a="1"/>
  <c r="J139" i="2" a="1"/>
  <c r="J143" i="2" a="1"/>
  <c r="J147" i="2" a="1"/>
  <c r="J151" i="2" a="1"/>
  <c r="J155" i="2" a="1"/>
  <c r="J159" i="2" a="1"/>
  <c r="J163" i="2" a="1"/>
  <c r="J167" i="2" a="1"/>
  <c r="J171" i="2" a="1"/>
  <c r="J175" i="2" a="1"/>
  <c r="J179" i="2" a="1"/>
  <c r="J183" i="2" a="1"/>
  <c r="J187" i="2" a="1"/>
  <c r="J191" i="2" a="1"/>
  <c r="J195" i="2" a="1"/>
  <c r="J199" i="2" a="1"/>
  <c r="J203" i="2" a="1"/>
  <c r="J207" i="2" a="1"/>
  <c r="J211" i="2" a="1"/>
  <c r="J215" i="2" a="1"/>
  <c r="J219" i="2" a="1"/>
  <c r="J223" i="2" a="1"/>
  <c r="J227" i="2" a="1"/>
  <c r="J231" i="2" a="1"/>
  <c r="J235" i="2" a="1"/>
  <c r="J8" i="2" a="1"/>
  <c r="J12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88" i="2" a="1"/>
  <c r="J92" i="2" a="1"/>
  <c r="J96" i="2" a="1"/>
  <c r="J100" i="2" a="1"/>
  <c r="J104" i="2" a="1"/>
  <c r="J108" i="2" a="1"/>
  <c r="J112" i="2" a="1"/>
  <c r="J116" i="2" a="1"/>
  <c r="J120" i="2" a="1"/>
  <c r="J124" i="2" a="1"/>
  <c r="J128" i="2" a="1"/>
  <c r="J132" i="2" a="1"/>
  <c r="J136" i="2" a="1"/>
  <c r="J140" i="2" a="1"/>
  <c r="J144" i="2" a="1"/>
  <c r="J148" i="2" a="1"/>
  <c r="J152" i="2" a="1"/>
  <c r="J156" i="2" a="1"/>
  <c r="J160" i="2" a="1"/>
  <c r="J164" i="2" a="1"/>
  <c r="J168" i="2" a="1"/>
  <c r="J172" i="2" a="1"/>
  <c r="J176" i="2" a="1"/>
  <c r="J180" i="2" a="1"/>
  <c r="J184" i="2" a="1"/>
  <c r="J188" i="2" a="1"/>
  <c r="J192" i="2" a="1"/>
  <c r="J196" i="2" a="1"/>
  <c r="J200" i="2" a="1"/>
  <c r="J204" i="2" a="1"/>
  <c r="J208" i="2" a="1"/>
  <c r="J212" i="2" a="1"/>
  <c r="J216" i="2" a="1"/>
  <c r="J220" i="2" a="1"/>
  <c r="J224" i="2" a="1"/>
  <c r="J228" i="2" a="1"/>
  <c r="J232" i="2" a="1"/>
  <c r="J236" i="2" a="1"/>
  <c r="J18" i="2" a="1"/>
  <c r="J25" i="2" a="1"/>
  <c r="J50" i="2" a="1"/>
  <c r="J57" i="2" a="1"/>
  <c r="J82" i="2" a="1"/>
  <c r="J89" i="2" a="1"/>
  <c r="J114" i="2" a="1"/>
  <c r="J121" i="2" a="1"/>
  <c r="J146" i="2" a="1"/>
  <c r="J153" i="2" a="1"/>
  <c r="J178" i="2" a="1"/>
  <c r="J185" i="2" a="1"/>
  <c r="J210" i="2" a="1"/>
  <c r="J217" i="2" a="1"/>
  <c r="J241" i="2" a="1"/>
  <c r="J250" i="2" a="1"/>
  <c r="J255" i="2" a="1"/>
  <c r="J264" i="2" a="1"/>
  <c r="J26" i="2" a="1"/>
  <c r="J33" i="2" a="1"/>
  <c r="J58" i="2" a="1"/>
  <c r="J65" i="2" a="1"/>
  <c r="J90" i="2" a="1"/>
  <c r="J97" i="2" a="1"/>
  <c r="J122" i="2" a="1"/>
  <c r="J129" i="2" a="1"/>
  <c r="J154" i="2" a="1"/>
  <c r="J161" i="2" a="1"/>
  <c r="J186" i="2" a="1"/>
  <c r="J193" i="2" a="1"/>
  <c r="J218" i="2" a="1"/>
  <c r="J225" i="2" a="1"/>
  <c r="J242" i="2" a="1"/>
  <c r="J247" i="2" a="1"/>
  <c r="J256" i="2" a="1"/>
  <c r="J265" i="2" a="1"/>
  <c r="J274" i="2" a="1"/>
  <c r="J279" i="2" a="1"/>
  <c r="J288" i="2" a="1"/>
  <c r="J297" i="2" a="1"/>
  <c r="J306" i="2" a="1"/>
  <c r="J311" i="2" a="1"/>
  <c r="J320" i="2" a="1"/>
  <c r="J329" i="2" a="1"/>
  <c r="J338" i="2" a="1"/>
  <c r="J343" i="2" a="1"/>
  <c r="J347" i="2" a="1"/>
  <c r="J351" i="2" a="1"/>
  <c r="J355" i="2" a="1"/>
  <c r="J359" i="2" a="1"/>
  <c r="J363" i="2" a="1"/>
  <c r="J367" i="2" a="1"/>
  <c r="J371" i="2" a="1"/>
  <c r="J375" i="2" a="1"/>
  <c r="J379" i="2" a="1"/>
  <c r="J383" i="2" a="1"/>
  <c r="J387" i="2" a="1"/>
  <c r="J391" i="2" a="1"/>
  <c r="J395" i="2" a="1"/>
  <c r="J399" i="2" a="1"/>
  <c r="J403" i="2" a="1"/>
  <c r="J407" i="2" a="1"/>
  <c r="J411" i="2" a="1"/>
  <c r="J415" i="2" a="1"/>
  <c r="J419" i="2" a="1"/>
  <c r="J14" i="2" a="1"/>
  <c r="J21" i="2" a="1"/>
  <c r="J46" i="2" a="1"/>
  <c r="J53" i="2" a="1"/>
  <c r="J78" i="2" a="1"/>
  <c r="J85" i="2" a="1"/>
  <c r="J110" i="2" a="1"/>
  <c r="J117" i="2" a="1"/>
  <c r="J142" i="2" a="1"/>
  <c r="J149" i="2" a="1"/>
  <c r="J174" i="2" a="1"/>
  <c r="J181" i="2" a="1"/>
  <c r="J206" i="2" a="1"/>
  <c r="J213" i="2" a="1"/>
  <c r="J238" i="2" a="1"/>
  <c r="J243" i="2" a="1"/>
  <c r="J252" i="2" a="1"/>
  <c r="J261" i="2" a="1"/>
  <c r="J270" i="2" a="1"/>
  <c r="J275" i="2" a="1"/>
  <c r="J284" i="2" a="1"/>
  <c r="J293" i="2" a="1"/>
  <c r="J302" i="2" a="1"/>
  <c r="J307" i="2" a="1"/>
  <c r="J316" i="2" a="1"/>
  <c r="J325" i="2" a="1"/>
  <c r="J334" i="2" a="1"/>
  <c r="J339" i="2" a="1"/>
  <c r="J22" i="2" a="1"/>
  <c r="J29" i="2" a="1"/>
  <c r="J54" i="2" a="1"/>
  <c r="J61" i="2" a="1"/>
  <c r="J86" i="2" a="1"/>
  <c r="J93" i="2" a="1"/>
  <c r="J118" i="2" a="1"/>
  <c r="J125" i="2" a="1"/>
  <c r="J150" i="2" a="1"/>
  <c r="J157" i="2" a="1"/>
  <c r="J182" i="2" a="1"/>
  <c r="J189" i="2" a="1"/>
  <c r="J214" i="2" a="1"/>
  <c r="J221" i="2" a="1"/>
  <c r="J244" i="2" a="1"/>
  <c r="J253" i="2" a="1"/>
  <c r="J10" i="2" a="1"/>
  <c r="J17" i="2" a="1"/>
  <c r="J42" i="2" a="1"/>
  <c r="J49" i="2" a="1"/>
  <c r="J74" i="2" a="1"/>
  <c r="J81" i="2" a="1"/>
  <c r="J106" i="2" a="1"/>
  <c r="J113" i="2" a="1"/>
  <c r="J138" i="2" a="1"/>
  <c r="J145" i="2" a="1"/>
  <c r="J170" i="2" a="1"/>
  <c r="J177" i="2" a="1"/>
  <c r="J202" i="2" a="1"/>
  <c r="J209" i="2" a="1"/>
  <c r="J234" i="2" a="1"/>
  <c r="J240" i="2" a="1"/>
  <c r="J249" i="2" a="1"/>
  <c r="J258" i="2" a="1"/>
  <c r="J263" i="2" a="1"/>
  <c r="J272" i="2" a="1"/>
  <c r="J281" i="2" a="1"/>
  <c r="J290" i="2" a="1"/>
  <c r="J295" i="2" a="1"/>
  <c r="J304" i="2" a="1"/>
  <c r="J313" i="2" a="1"/>
  <c r="J322" i="2" a="1"/>
  <c r="J327" i="2" a="1"/>
  <c r="J336" i="2" a="1"/>
  <c r="J345" i="2" a="1"/>
  <c r="J349" i="2" a="1"/>
  <c r="J353" i="2" a="1"/>
  <c r="J357" i="2" a="1"/>
  <c r="J361" i="2" a="1"/>
  <c r="J365" i="2" a="1"/>
  <c r="J369" i="2" a="1"/>
  <c r="J373" i="2" a="1"/>
  <c r="J377" i="2" a="1"/>
  <c r="J381" i="2" a="1"/>
  <c r="J385" i="2" a="1"/>
  <c r="J389" i="2" a="1"/>
  <c r="J393" i="2" a="1"/>
  <c r="J397" i="2" a="1"/>
  <c r="J401" i="2" a="1"/>
  <c r="J405" i="2" a="1"/>
  <c r="J409" i="2" a="1"/>
  <c r="J413" i="2" a="1"/>
  <c r="J417" i="2" a="1"/>
  <c r="J421" i="2" a="1"/>
  <c r="J425" i="2" a="1"/>
  <c r="J429" i="2" a="1"/>
  <c r="J433" i="2" a="1"/>
  <c r="J437" i="2" a="1"/>
  <c r="J441" i="2" a="1"/>
  <c r="J445" i="2" a="1"/>
  <c r="J449" i="2" a="1"/>
  <c r="J453" i="2" a="1"/>
  <c r="J457" i="2" a="1"/>
  <c r="J461" i="2" a="1"/>
  <c r="J465" i="2" a="1"/>
  <c r="J469" i="2" a="1"/>
  <c r="J473" i="2" a="1"/>
  <c r="J477" i="2" a="1"/>
  <c r="J481" i="2" a="1"/>
  <c r="J485" i="2" a="1"/>
  <c r="J489" i="2" a="1"/>
  <c r="J493" i="2" a="1"/>
  <c r="J497" i="2" a="1"/>
  <c r="J501" i="2" a="1"/>
  <c r="J505" i="2" a="1"/>
  <c r="J509" i="2" a="1"/>
  <c r="J513" i="2" a="1"/>
  <c r="J517" i="2" a="1"/>
  <c r="J521" i="2" a="1"/>
  <c r="J525" i="2" a="1"/>
  <c r="J529" i="2" a="1"/>
  <c r="J533" i="2" a="1"/>
  <c r="J537" i="2" a="1"/>
  <c r="J541" i="2" a="1"/>
  <c r="J545" i="2" a="1"/>
  <c r="J549" i="2" a="1"/>
  <c r="J553" i="2" a="1"/>
  <c r="J13" i="2" a="1"/>
  <c r="J30" i="2" a="1"/>
  <c r="J98" i="2" a="1"/>
  <c r="J133" i="2" a="1"/>
  <c r="J166" i="2" a="1"/>
  <c r="J201" i="2" a="1"/>
  <c r="J248" i="2" a="1"/>
  <c r="J259" i="2" a="1"/>
  <c r="J268" i="2" a="1"/>
  <c r="J276" i="2" a="1"/>
  <c r="J283" i="2" a="1"/>
  <c r="J291" i="2" a="1"/>
  <c r="J298" i="2" a="1"/>
  <c r="J305" i="2" a="1"/>
  <c r="J335" i="2" a="1"/>
  <c r="J368" i="2" a="1"/>
  <c r="J374" i="2" a="1"/>
  <c r="J400" i="2" a="1"/>
  <c r="J406" i="2" a="1"/>
  <c r="J430" i="2" a="1"/>
  <c r="J435" i="2" a="1"/>
  <c r="J446" i="2" a="1"/>
  <c r="J451" i="2" a="1"/>
  <c r="J462" i="2" a="1"/>
  <c r="J467" i="2" a="1"/>
  <c r="J478" i="2" a="1"/>
  <c r="J483" i="2" a="1"/>
  <c r="J494" i="2" a="1"/>
  <c r="J499" i="2" a="1"/>
  <c r="J510" i="2" a="1"/>
  <c r="J515" i="2" a="1"/>
  <c r="J526" i="2" a="1"/>
  <c r="J531" i="2" a="1"/>
  <c r="J542" i="2" a="1"/>
  <c r="J547" i="2" a="1"/>
  <c r="J562" i="2" a="1"/>
  <c r="J571" i="2" a="1"/>
  <c r="J576" i="2" a="1"/>
  <c r="J585" i="2" a="1"/>
  <c r="J594" i="2" a="1"/>
  <c r="J603" i="2" a="1"/>
  <c r="J608" i="2" a="1"/>
  <c r="J617" i="2" a="1"/>
  <c r="J626" i="2" a="1"/>
  <c r="J635" i="2" a="1"/>
  <c r="J640" i="2" a="1"/>
  <c r="J649" i="2" a="1"/>
  <c r="J34" i="2" a="1"/>
  <c r="J69" i="2" a="1"/>
  <c r="J102" i="2" a="1"/>
  <c r="J137" i="2" a="1"/>
  <c r="J205" i="2" a="1"/>
  <c r="J222" i="2" a="1"/>
  <c r="J239" i="2" a="1"/>
  <c r="J251" i="2" a="1"/>
  <c r="J271" i="2" a="1"/>
  <c r="J285" i="2" a="1"/>
  <c r="J292" i="2" a="1"/>
  <c r="J300" i="2" a="1"/>
  <c r="J314" i="2" a="1"/>
  <c r="J344" i="2" a="1"/>
  <c r="J350" i="2" a="1"/>
  <c r="J376" i="2" a="1"/>
  <c r="J382" i="2" a="1"/>
  <c r="J408" i="2" a="1"/>
  <c r="J414" i="2" a="1"/>
  <c r="J426" i="2" a="1"/>
  <c r="J431" i="2" a="1"/>
  <c r="J442" i="2" a="1"/>
  <c r="J447" i="2" a="1"/>
  <c r="J458" i="2" a="1"/>
  <c r="J463" i="2" a="1"/>
  <c r="J474" i="2" a="1"/>
  <c r="J479" i="2" a="1"/>
  <c r="J490" i="2" a="1"/>
  <c r="J495" i="2" a="1"/>
  <c r="J506" i="2" a="1"/>
  <c r="J511" i="2" a="1"/>
  <c r="J522" i="2" a="1"/>
  <c r="J527" i="2" a="1"/>
  <c r="J538" i="2" a="1"/>
  <c r="J543" i="2" a="1"/>
  <c r="J554" i="2" a="1"/>
  <c r="J563" i="2" a="1"/>
  <c r="J568" i="2" a="1"/>
  <c r="J577" i="2" a="1"/>
  <c r="J586" i="2" a="1"/>
  <c r="J595" i="2" a="1"/>
  <c r="J600" i="2" a="1"/>
  <c r="J609" i="2" a="1"/>
  <c r="J618" i="2" a="1"/>
  <c r="J627" i="2" a="1"/>
  <c r="J632" i="2" a="1"/>
  <c r="J641" i="2" a="1"/>
  <c r="J650" i="2" a="1"/>
  <c r="J141" i="2" a="1"/>
  <c r="J294" i="2" a="1"/>
  <c r="J309" i="2" a="1"/>
  <c r="J352" i="2" a="1"/>
  <c r="J384" i="2" a="1"/>
  <c r="J422" i="2" a="1"/>
  <c r="J438" i="2" a="1"/>
  <c r="J454" i="2" a="1"/>
  <c r="J475" i="2" a="1"/>
  <c r="J37" i="2" a="1"/>
  <c r="J70" i="2" a="1"/>
  <c r="J105" i="2" a="1"/>
  <c r="J173" i="2" a="1"/>
  <c r="J190" i="2" a="1"/>
  <c r="J262" i="2" a="1"/>
  <c r="J278" i="2" a="1"/>
  <c r="J286" i="2" a="1"/>
  <c r="J308" i="2" a="1"/>
  <c r="J315" i="2" a="1"/>
  <c r="J323" i="2" a="1"/>
  <c r="J330" i="2" a="1"/>
  <c r="J337" i="2" a="1"/>
  <c r="J364" i="2" a="1"/>
  <c r="J370" i="2" a="1"/>
  <c r="J396" i="2" a="1"/>
  <c r="J402" i="2" a="1"/>
  <c r="J432" i="2" a="1"/>
  <c r="J448" i="2" a="1"/>
  <c r="J464" i="2" a="1"/>
  <c r="J480" i="2" a="1"/>
  <c r="J496" i="2" a="1"/>
  <c r="J512" i="2" a="1"/>
  <c r="J528" i="2" a="1"/>
  <c r="J544" i="2" a="1"/>
  <c r="J559" i="2" a="1"/>
  <c r="J564" i="2" a="1"/>
  <c r="J573" i="2" a="1"/>
  <c r="J582" i="2" a="1"/>
  <c r="J591" i="2" a="1"/>
  <c r="J596" i="2" a="1"/>
  <c r="J605" i="2" a="1"/>
  <c r="J614" i="2" a="1"/>
  <c r="J623" i="2" a="1"/>
  <c r="J628" i="2" a="1"/>
  <c r="J637" i="2" a="1"/>
  <c r="J646" i="2" a="1"/>
  <c r="J38" i="2" a="1"/>
  <c r="J73" i="2" a="1"/>
  <c r="J158" i="2" a="1"/>
  <c r="J226" i="2" a="1"/>
  <c r="J254" i="2" a="1"/>
  <c r="J280" i="2" a="1"/>
  <c r="J287" i="2" a="1"/>
  <c r="J301" i="2" a="1"/>
  <c r="J331" i="2" a="1"/>
  <c r="J358" i="2" a="1"/>
  <c r="J390" i="2" a="1"/>
  <c r="J416" i="2" a="1"/>
  <c r="J427" i="2" a="1"/>
  <c r="J443" i="2" a="1"/>
  <c r="J459" i="2" a="1"/>
  <c r="J470" i="2" a="1"/>
  <c r="J486" i="2" a="1"/>
  <c r="J9" i="2" a="1"/>
  <c r="J366" i="2" a="1"/>
  <c r="J418" i="2" a="1"/>
  <c r="J535" i="2" a="1"/>
  <c r="J604" i="2" a="1"/>
  <c r="J45" i="2" a="1"/>
  <c r="J246" i="2" a="1"/>
  <c r="J267" i="2" a="1"/>
  <c r="J282" i="2" a="1"/>
  <c r="J312" i="2" a="1"/>
  <c r="J326" i="2" a="1"/>
  <c r="J341" i="2" a="1"/>
  <c r="J354" i="2" a="1"/>
  <c r="J380" i="2" a="1"/>
  <c r="J440" i="2" a="1"/>
  <c r="J472" i="2" a="1"/>
  <c r="J567" i="2" a="1"/>
  <c r="J611" i="2" a="1"/>
  <c r="J269" i="2" a="1"/>
  <c r="J299" i="2" a="1"/>
  <c r="J328" i="2" a="1"/>
  <c r="J342" i="2" a="1"/>
  <c r="J356" i="2" a="1"/>
  <c r="J394" i="2" a="1"/>
  <c r="J420" i="2" a="1"/>
  <c r="J452" i="2" a="1"/>
  <c r="J484" i="2" a="1"/>
  <c r="J519" i="2" a="1"/>
  <c r="J536" i="2" a="1"/>
  <c r="J561" i="2" a="1"/>
  <c r="J569" i="2" a="1"/>
  <c r="J575" i="2" a="1"/>
  <c r="J583" i="2" a="1"/>
  <c r="J590" i="2" a="1"/>
  <c r="J612" i="2" a="1"/>
  <c r="J620" i="2" a="1"/>
  <c r="J634" i="2" a="1"/>
  <c r="J642" i="2" a="1"/>
  <c r="J126" i="2" a="1"/>
  <c r="J194" i="2" a="1"/>
  <c r="J229" i="2" a="1"/>
  <c r="J273" i="2" a="1"/>
  <c r="J303" i="2" a="1"/>
  <c r="J317" i="2" a="1"/>
  <c r="J332" i="2" a="1"/>
  <c r="J346" i="2" a="1"/>
  <c r="J372" i="2" a="1"/>
  <c r="J410" i="2" a="1"/>
  <c r="J444" i="2" a="1"/>
  <c r="J476" i="2" a="1"/>
  <c r="J503" i="2" a="1"/>
  <c r="J520" i="2" a="1"/>
  <c r="J546" i="2" a="1"/>
  <c r="J555" i="2" a="1"/>
  <c r="J584" i="2" a="1"/>
  <c r="J592" i="2" a="1"/>
  <c r="J598" i="2" a="1"/>
  <c r="J606" i="2" a="1"/>
  <c r="J613" i="2" a="1"/>
  <c r="J492" i="2" a="1"/>
  <c r="J566" i="2" a="1"/>
  <c r="J639" i="2" a="1"/>
  <c r="J552" i="2" a="1"/>
  <c r="J94" i="2" a="1"/>
  <c r="J162" i="2" a="1"/>
  <c r="J197" i="2" a="1"/>
  <c r="J230" i="2" a="1"/>
  <c r="J257" i="2" a="1"/>
  <c r="J289" i="2" a="1"/>
  <c r="J318" i="2" a="1"/>
  <c r="J360" i="2" a="1"/>
  <c r="J398" i="2" a="1"/>
  <c r="J423" i="2" a="1"/>
  <c r="J434" i="2" a="1"/>
  <c r="J455" i="2" a="1"/>
  <c r="J466" i="2" a="1"/>
  <c r="J487" i="2" a="1"/>
  <c r="J504" i="2" a="1"/>
  <c r="J530" i="2" a="1"/>
  <c r="J539" i="2" a="1"/>
  <c r="J556" i="2" a="1"/>
  <c r="J570" i="2" a="1"/>
  <c r="J578" i="2" a="1"/>
  <c r="J599" i="2" a="1"/>
  <c r="J621" i="2" a="1"/>
  <c r="J629" i="2" a="1"/>
  <c r="J636" i="2" a="1"/>
  <c r="J643" i="2" a="1"/>
  <c r="J651" i="2" a="1"/>
  <c r="J468" i="2" a="1"/>
  <c r="J498" i="2" a="1"/>
  <c r="J524" i="2" a="1"/>
  <c r="J557" i="2" a="1"/>
  <c r="J572" i="2" a="1"/>
  <c r="J587" i="2" a="1"/>
  <c r="J616" i="2" a="1"/>
  <c r="J638" i="2" a="1"/>
  <c r="J6" i="2" a="1"/>
  <c r="J404" i="2" a="1"/>
  <c r="J428" i="2" a="1"/>
  <c r="J460" i="2" a="1"/>
  <c r="J516" i="2" a="1"/>
  <c r="J580" i="2" a="1"/>
  <c r="J602" i="2" a="1"/>
  <c r="J631" i="2" a="1"/>
  <c r="J653" i="2" a="1"/>
  <c r="J77" i="2" a="1"/>
  <c r="J266" i="2" a="1"/>
  <c r="J310" i="2" a="1"/>
  <c r="J392" i="2" a="1"/>
  <c r="J439" i="2" a="1"/>
  <c r="J471" i="2" a="1"/>
  <c r="J500" i="2" a="1"/>
  <c r="J560" i="2" a="1"/>
  <c r="J581" i="2" a="1"/>
  <c r="J633" i="2" a="1"/>
  <c r="J654" i="2" a="1"/>
  <c r="J502" i="2" a="1"/>
  <c r="J597" i="2" a="1"/>
  <c r="J648" i="2" a="1"/>
  <c r="J62" i="2" a="1"/>
  <c r="J130" i="2" a="1"/>
  <c r="J165" i="2" a="1"/>
  <c r="J198" i="2" a="1"/>
  <c r="J233" i="2" a="1"/>
  <c r="J319" i="2" a="1"/>
  <c r="J333" i="2" a="1"/>
  <c r="J348" i="2" a="1"/>
  <c r="J386" i="2" a="1"/>
  <c r="J412" i="2" a="1"/>
  <c r="J424" i="2" a="1"/>
  <c r="J456" i="2" a="1"/>
  <c r="J488" i="2" a="1"/>
  <c r="J514" i="2" a="1"/>
  <c r="J523" i="2" a="1"/>
  <c r="J540" i="2" a="1"/>
  <c r="J548" i="2" a="1"/>
  <c r="J593" i="2" a="1"/>
  <c r="J601" i="2" a="1"/>
  <c r="J607" i="2" a="1"/>
  <c r="J615" i="2" a="1"/>
  <c r="J622" i="2" a="1"/>
  <c r="J644" i="2" a="1"/>
  <c r="J652" i="2" a="1"/>
  <c r="J66" i="2" a="1"/>
  <c r="J101" i="2" a="1"/>
  <c r="J134" i="2" a="1"/>
  <c r="J169" i="2" a="1"/>
  <c r="J237" i="2" a="1"/>
  <c r="J260" i="2" a="1"/>
  <c r="J277" i="2" a="1"/>
  <c r="J321" i="2" a="1"/>
  <c r="J362" i="2" a="1"/>
  <c r="J388" i="2" a="1"/>
  <c r="J436" i="2" a="1"/>
  <c r="J507" i="2" a="1"/>
  <c r="J532" i="2" a="1"/>
  <c r="J550" i="2" a="1"/>
  <c r="J565" i="2" a="1"/>
  <c r="J579" i="2" a="1"/>
  <c r="J624" i="2" a="1"/>
  <c r="J630" i="2" a="1"/>
  <c r="J645" i="2" a="1"/>
  <c r="J41" i="2" a="1"/>
  <c r="J109" i="2" a="1"/>
  <c r="J324" i="2" a="1"/>
  <c r="J378" i="2" a="1"/>
  <c r="J491" i="2" a="1"/>
  <c r="J508" i="2" a="1"/>
  <c r="J534" i="2" a="1"/>
  <c r="J558" i="2" a="1"/>
  <c r="J588" i="2" a="1"/>
  <c r="J610" i="2" a="1"/>
  <c r="J245" i="2" a="1"/>
  <c r="J296" i="2" a="1"/>
  <c r="J340" i="2" a="1"/>
  <c r="J450" i="2" a="1"/>
  <c r="J482" i="2" a="1"/>
  <c r="J518" i="2" a="1"/>
  <c r="J551" i="2" a="1"/>
  <c r="J574" i="2" a="1"/>
  <c r="J625" i="2" a="1"/>
  <c r="J647" i="2" a="1"/>
  <c r="J589" i="2" a="1"/>
  <c r="J619" i="2" a="1"/>
  <c r="J4" i="2" a="1"/>
  <c r="M15" i="2" l="1"/>
  <c r="J619" i="2"/>
  <c r="J589" i="2"/>
  <c r="J647" i="2"/>
  <c r="J625" i="2"/>
  <c r="K625" i="2" s="1"/>
  <c r="J574" i="2"/>
  <c r="K574" i="2" s="1"/>
  <c r="J551" i="2"/>
  <c r="K551" i="2" s="1"/>
  <c r="J518" i="2"/>
  <c r="J482" i="2"/>
  <c r="J450" i="2"/>
  <c r="K450" i="2" s="1"/>
  <c r="J340" i="2"/>
  <c r="J296" i="2"/>
  <c r="J245" i="2"/>
  <c r="J610" i="2"/>
  <c r="J588" i="2"/>
  <c r="K588" i="2" s="1"/>
  <c r="J558" i="2"/>
  <c r="J534" i="2"/>
  <c r="J508" i="2"/>
  <c r="K508" i="2" s="1"/>
  <c r="J491" i="2"/>
  <c r="J378" i="2"/>
  <c r="J324" i="2"/>
  <c r="K324" i="2" s="1"/>
  <c r="J109" i="2"/>
  <c r="J41" i="2"/>
  <c r="J645" i="2"/>
  <c r="J630" i="2"/>
  <c r="J624" i="2"/>
  <c r="K624" i="2" s="1"/>
  <c r="J579" i="2"/>
  <c r="J565" i="2"/>
  <c r="J550" i="2"/>
  <c r="J532" i="2"/>
  <c r="J507" i="2"/>
  <c r="J436" i="2"/>
  <c r="J388" i="2"/>
  <c r="J362" i="2"/>
  <c r="K362" i="2" s="1"/>
  <c r="J321" i="2"/>
  <c r="K321" i="2" s="1"/>
  <c r="J277" i="2"/>
  <c r="J260" i="2"/>
  <c r="J237" i="2"/>
  <c r="J169" i="2"/>
  <c r="J134" i="2"/>
  <c r="J101" i="2"/>
  <c r="J66" i="2"/>
  <c r="J652" i="2"/>
  <c r="J644" i="2"/>
  <c r="J622" i="2"/>
  <c r="J615" i="2"/>
  <c r="J607" i="2"/>
  <c r="J601" i="2"/>
  <c r="J593" i="2"/>
  <c r="J548" i="2"/>
  <c r="J540" i="2"/>
  <c r="J523" i="2"/>
  <c r="J514" i="2"/>
  <c r="J488" i="2"/>
  <c r="J456" i="2"/>
  <c r="K456" i="2" s="1"/>
  <c r="J424" i="2"/>
  <c r="J412" i="2"/>
  <c r="J386" i="2"/>
  <c r="J348" i="2"/>
  <c r="J333" i="2"/>
  <c r="J319" i="2"/>
  <c r="J233" i="2"/>
  <c r="J198" i="2"/>
  <c r="J165" i="2"/>
  <c r="J130" i="2"/>
  <c r="J62" i="2"/>
  <c r="J648" i="2"/>
  <c r="J597" i="2"/>
  <c r="J502" i="2"/>
  <c r="J654" i="2"/>
  <c r="J633" i="2"/>
  <c r="J581" i="2"/>
  <c r="J560" i="2"/>
  <c r="J500" i="2"/>
  <c r="J471" i="2"/>
  <c r="J439" i="2"/>
  <c r="J392" i="2"/>
  <c r="J310" i="2"/>
  <c r="J266" i="2"/>
  <c r="J77" i="2"/>
  <c r="J653" i="2"/>
  <c r="J631" i="2"/>
  <c r="J602" i="2"/>
  <c r="J580" i="2"/>
  <c r="J516" i="2"/>
  <c r="J460" i="2"/>
  <c r="J428" i="2"/>
  <c r="J404" i="2"/>
  <c r="J6" i="2"/>
  <c r="J638" i="2"/>
  <c r="J616" i="2"/>
  <c r="J587" i="2"/>
  <c r="K587" i="2" s="1"/>
  <c r="J572" i="2"/>
  <c r="K572" i="2" s="1"/>
  <c r="J557" i="2"/>
  <c r="J524" i="2"/>
  <c r="J498" i="2"/>
  <c r="J468" i="2"/>
  <c r="J651" i="2"/>
  <c r="J643" i="2"/>
  <c r="J636" i="2"/>
  <c r="J629" i="2"/>
  <c r="J621" i="2"/>
  <c r="J599" i="2"/>
  <c r="J578" i="2"/>
  <c r="J570" i="2"/>
  <c r="J556" i="2"/>
  <c r="J539" i="2"/>
  <c r="J530" i="2"/>
  <c r="J504" i="2"/>
  <c r="J487" i="2"/>
  <c r="J466" i="2"/>
  <c r="J455" i="2"/>
  <c r="J434" i="2"/>
  <c r="J423" i="2"/>
  <c r="K423" i="2" s="1"/>
  <c r="J398" i="2"/>
  <c r="J360" i="2"/>
  <c r="K360" i="2" s="1"/>
  <c r="J318" i="2"/>
  <c r="K318" i="2" s="1"/>
  <c r="J289" i="2"/>
  <c r="K289" i="2" s="1"/>
  <c r="J257" i="2"/>
  <c r="J230" i="2"/>
  <c r="J197" i="2"/>
  <c r="J162" i="2"/>
  <c r="J94" i="2"/>
  <c r="K94" i="2" s="1"/>
  <c r="J552" i="2"/>
  <c r="J639" i="2"/>
  <c r="J566" i="2"/>
  <c r="J492" i="2"/>
  <c r="J613" i="2"/>
  <c r="J606" i="2"/>
  <c r="J598" i="2"/>
  <c r="J592" i="2"/>
  <c r="J584" i="2"/>
  <c r="J555" i="2"/>
  <c r="J546" i="2"/>
  <c r="J520" i="2"/>
  <c r="J503" i="2"/>
  <c r="J476" i="2"/>
  <c r="J444" i="2"/>
  <c r="J410" i="2"/>
  <c r="J372" i="2"/>
  <c r="J346" i="2"/>
  <c r="J332" i="2"/>
  <c r="J317" i="2"/>
  <c r="K317" i="2" s="1"/>
  <c r="J303" i="2"/>
  <c r="J273" i="2"/>
  <c r="J229" i="2"/>
  <c r="J194" i="2"/>
  <c r="J126" i="2"/>
  <c r="J642" i="2"/>
  <c r="J634" i="2"/>
  <c r="J620" i="2"/>
  <c r="J612" i="2"/>
  <c r="J590" i="2"/>
  <c r="J583" i="2"/>
  <c r="J575" i="2"/>
  <c r="J569" i="2"/>
  <c r="J561" i="2"/>
  <c r="J536" i="2"/>
  <c r="J519" i="2"/>
  <c r="J484" i="2"/>
  <c r="J452" i="2"/>
  <c r="J420" i="2"/>
  <c r="J394" i="2"/>
  <c r="J356" i="2"/>
  <c r="J342" i="2"/>
  <c r="J328" i="2"/>
  <c r="J299" i="2"/>
  <c r="J269" i="2"/>
  <c r="J611" i="2"/>
  <c r="J567" i="2"/>
  <c r="J472" i="2"/>
  <c r="J440" i="2"/>
  <c r="J380" i="2"/>
  <c r="J354" i="2"/>
  <c r="J341" i="2"/>
  <c r="J326" i="2"/>
  <c r="J312" i="2"/>
  <c r="J282" i="2"/>
  <c r="J267" i="2"/>
  <c r="J246" i="2"/>
  <c r="J45" i="2"/>
  <c r="J604" i="2"/>
  <c r="J535" i="2"/>
  <c r="J418" i="2"/>
  <c r="J366" i="2"/>
  <c r="J9" i="2"/>
  <c r="J486" i="2"/>
  <c r="J470" i="2"/>
  <c r="J459" i="2"/>
  <c r="J443" i="2"/>
  <c r="J427" i="2"/>
  <c r="J416" i="2"/>
  <c r="J390" i="2"/>
  <c r="J358" i="2"/>
  <c r="J331" i="2"/>
  <c r="J301" i="2"/>
  <c r="J287" i="2"/>
  <c r="J280" i="2"/>
  <c r="J254" i="2"/>
  <c r="J226" i="2"/>
  <c r="J158" i="2"/>
  <c r="J73" i="2"/>
  <c r="J38" i="2"/>
  <c r="J646" i="2"/>
  <c r="K646" i="2" s="1"/>
  <c r="J637" i="2"/>
  <c r="J628" i="2"/>
  <c r="J623" i="2"/>
  <c r="J614" i="2"/>
  <c r="J605" i="2"/>
  <c r="J596" i="2"/>
  <c r="J591" i="2"/>
  <c r="J582" i="2"/>
  <c r="K582" i="2" s="1"/>
  <c r="J573" i="2"/>
  <c r="J564" i="2"/>
  <c r="J559" i="2"/>
  <c r="J544" i="2"/>
  <c r="K544" i="2" s="1"/>
  <c r="J528" i="2"/>
  <c r="J512" i="2"/>
  <c r="J496" i="2"/>
  <c r="K496" i="2" s="1"/>
  <c r="J480" i="2"/>
  <c r="J464" i="2"/>
  <c r="J448" i="2"/>
  <c r="J432" i="2"/>
  <c r="J402" i="2"/>
  <c r="J396" i="2"/>
  <c r="J370" i="2"/>
  <c r="J364" i="2"/>
  <c r="J337" i="2"/>
  <c r="J330" i="2"/>
  <c r="J323" i="2"/>
  <c r="J315" i="2"/>
  <c r="J308" i="2"/>
  <c r="J286" i="2"/>
  <c r="J278" i="2"/>
  <c r="J262" i="2"/>
  <c r="J190" i="2"/>
  <c r="J173" i="2"/>
  <c r="J105" i="2"/>
  <c r="J70" i="2"/>
  <c r="J37" i="2"/>
  <c r="J475" i="2"/>
  <c r="J454" i="2"/>
  <c r="J438" i="2"/>
  <c r="J422" i="2"/>
  <c r="J384" i="2"/>
  <c r="K384" i="2" s="1"/>
  <c r="J352" i="2"/>
  <c r="J309" i="2"/>
  <c r="J294" i="2"/>
  <c r="J141" i="2"/>
  <c r="J650" i="2"/>
  <c r="J641" i="2"/>
  <c r="J632" i="2"/>
  <c r="J627" i="2"/>
  <c r="J618" i="2"/>
  <c r="J609" i="2"/>
  <c r="J600" i="2"/>
  <c r="J595" i="2"/>
  <c r="J586" i="2"/>
  <c r="J577" i="2"/>
  <c r="J568" i="2"/>
  <c r="J563" i="2"/>
  <c r="J554" i="2"/>
  <c r="J543" i="2"/>
  <c r="J538" i="2"/>
  <c r="J527" i="2"/>
  <c r="J522" i="2"/>
  <c r="K522" i="2" s="1"/>
  <c r="J511" i="2"/>
  <c r="J506" i="2"/>
  <c r="J495" i="2"/>
  <c r="J490" i="2"/>
  <c r="J479" i="2"/>
  <c r="J474" i="2"/>
  <c r="J463" i="2"/>
  <c r="J458" i="2"/>
  <c r="J447" i="2"/>
  <c r="J442" i="2"/>
  <c r="J431" i="2"/>
  <c r="J426" i="2"/>
  <c r="J414" i="2"/>
  <c r="J408" i="2"/>
  <c r="J382" i="2"/>
  <c r="J376" i="2"/>
  <c r="J350" i="2"/>
  <c r="J344" i="2"/>
  <c r="K344" i="2" s="1"/>
  <c r="J314" i="2"/>
  <c r="J300" i="2"/>
  <c r="J292" i="2"/>
  <c r="J285" i="2"/>
  <c r="J271" i="2"/>
  <c r="J251" i="2"/>
  <c r="J239" i="2"/>
  <c r="J222" i="2"/>
  <c r="J205" i="2"/>
  <c r="J137" i="2"/>
  <c r="J102" i="2"/>
  <c r="J69" i="2"/>
  <c r="J34" i="2"/>
  <c r="J649" i="2"/>
  <c r="K649" i="2" s="1"/>
  <c r="J640" i="2"/>
  <c r="J635" i="2"/>
  <c r="J626" i="2"/>
  <c r="J617" i="2"/>
  <c r="J608" i="2"/>
  <c r="J603" i="2"/>
  <c r="J594" i="2"/>
  <c r="J585" i="2"/>
  <c r="K585" i="2" s="1"/>
  <c r="J576" i="2"/>
  <c r="J571" i="2"/>
  <c r="K571" i="2" s="1"/>
  <c r="J562" i="2"/>
  <c r="J547" i="2"/>
  <c r="J542" i="2"/>
  <c r="J531" i="2"/>
  <c r="J526" i="2"/>
  <c r="J515" i="2"/>
  <c r="J510" i="2"/>
  <c r="J499" i="2"/>
  <c r="J494" i="2"/>
  <c r="J483" i="2"/>
  <c r="J478" i="2"/>
  <c r="J467" i="2"/>
  <c r="J462" i="2"/>
  <c r="J451" i="2"/>
  <c r="J446" i="2"/>
  <c r="J435" i="2"/>
  <c r="J430" i="2"/>
  <c r="J406" i="2"/>
  <c r="J400" i="2"/>
  <c r="J374" i="2"/>
  <c r="J368" i="2"/>
  <c r="J335" i="2"/>
  <c r="J305" i="2"/>
  <c r="J298" i="2"/>
  <c r="K298" i="2" s="1"/>
  <c r="J291" i="2"/>
  <c r="K291" i="2" s="1"/>
  <c r="J283" i="2"/>
  <c r="J276" i="2"/>
  <c r="J268" i="2"/>
  <c r="J259" i="2"/>
  <c r="J248" i="2"/>
  <c r="J201" i="2"/>
  <c r="K201" i="2" s="1"/>
  <c r="J166" i="2"/>
  <c r="J133" i="2"/>
  <c r="J98" i="2"/>
  <c r="J30" i="2"/>
  <c r="J13" i="2"/>
  <c r="J553" i="2"/>
  <c r="J549" i="2"/>
  <c r="J545" i="2"/>
  <c r="J541" i="2"/>
  <c r="J537" i="2"/>
  <c r="J533" i="2"/>
  <c r="J529" i="2"/>
  <c r="J525" i="2"/>
  <c r="J521" i="2"/>
  <c r="J517" i="2"/>
  <c r="J513" i="2"/>
  <c r="J509" i="2"/>
  <c r="J505" i="2"/>
  <c r="J501" i="2"/>
  <c r="J497" i="2"/>
  <c r="J493" i="2"/>
  <c r="J489" i="2"/>
  <c r="J485" i="2"/>
  <c r="J481" i="2"/>
  <c r="J477" i="2"/>
  <c r="J473" i="2"/>
  <c r="K473" i="2" s="1"/>
  <c r="J469" i="2"/>
  <c r="J465" i="2"/>
  <c r="J461" i="2"/>
  <c r="J457" i="2"/>
  <c r="K457" i="2" s="1"/>
  <c r="J453" i="2"/>
  <c r="J449" i="2"/>
  <c r="J445" i="2"/>
  <c r="J441" i="2"/>
  <c r="J437" i="2"/>
  <c r="J433" i="2"/>
  <c r="J429" i="2"/>
  <c r="J425" i="2"/>
  <c r="J421" i="2"/>
  <c r="J417" i="2"/>
  <c r="J413" i="2"/>
  <c r="J409" i="2"/>
  <c r="J405" i="2"/>
  <c r="J401" i="2"/>
  <c r="J397" i="2"/>
  <c r="J393" i="2"/>
  <c r="J389" i="2"/>
  <c r="K389" i="2" s="1"/>
  <c r="J385" i="2"/>
  <c r="J381" i="2"/>
  <c r="J377" i="2"/>
  <c r="J373" i="2"/>
  <c r="J369" i="2"/>
  <c r="J365" i="2"/>
  <c r="J361" i="2"/>
  <c r="J357" i="2"/>
  <c r="J353" i="2"/>
  <c r="J349" i="2"/>
  <c r="J345" i="2"/>
  <c r="J336" i="2"/>
  <c r="J327" i="2"/>
  <c r="J322" i="2"/>
  <c r="J313" i="2"/>
  <c r="J304" i="2"/>
  <c r="J295" i="2"/>
  <c r="K295" i="2" s="1"/>
  <c r="J290" i="2"/>
  <c r="J281" i="2"/>
  <c r="J272" i="2"/>
  <c r="J263" i="2"/>
  <c r="J258" i="2"/>
  <c r="J249" i="2"/>
  <c r="J240" i="2"/>
  <c r="J234" i="2"/>
  <c r="J209" i="2"/>
  <c r="J202" i="2"/>
  <c r="J177" i="2"/>
  <c r="J170" i="2"/>
  <c r="J145" i="2"/>
  <c r="J138" i="2"/>
  <c r="J113" i="2"/>
  <c r="J106" i="2"/>
  <c r="J81" i="2"/>
  <c r="J74" i="2"/>
  <c r="J49" i="2"/>
  <c r="J42" i="2"/>
  <c r="J17" i="2"/>
  <c r="J10" i="2"/>
  <c r="J253" i="2"/>
  <c r="J244" i="2"/>
  <c r="J221" i="2"/>
  <c r="J214" i="2"/>
  <c r="J189" i="2"/>
  <c r="J182" i="2"/>
  <c r="J157" i="2"/>
  <c r="J150" i="2"/>
  <c r="J125" i="2"/>
  <c r="K125" i="2" s="1"/>
  <c r="J118" i="2"/>
  <c r="J93" i="2"/>
  <c r="J86" i="2"/>
  <c r="J61" i="2"/>
  <c r="J54" i="2"/>
  <c r="J29" i="2"/>
  <c r="J22" i="2"/>
  <c r="J339" i="2"/>
  <c r="J334" i="2"/>
  <c r="J325" i="2"/>
  <c r="K325" i="2" s="1"/>
  <c r="J316" i="2"/>
  <c r="J307" i="2"/>
  <c r="K307" i="2" s="1"/>
  <c r="J302" i="2"/>
  <c r="J293" i="2"/>
  <c r="J284" i="2"/>
  <c r="J275" i="2"/>
  <c r="J270" i="2"/>
  <c r="K270" i="2" s="1"/>
  <c r="J261" i="2"/>
  <c r="J252" i="2"/>
  <c r="J243" i="2"/>
  <c r="J238" i="2"/>
  <c r="J213" i="2"/>
  <c r="J206" i="2"/>
  <c r="J181" i="2"/>
  <c r="J174" i="2"/>
  <c r="J149" i="2"/>
  <c r="J142" i="2"/>
  <c r="J117" i="2"/>
  <c r="J110" i="2"/>
  <c r="J85" i="2"/>
  <c r="J78" i="2"/>
  <c r="J53" i="2"/>
  <c r="J46" i="2"/>
  <c r="K46" i="2" s="1"/>
  <c r="J21" i="2"/>
  <c r="J14" i="2"/>
  <c r="J419" i="2"/>
  <c r="J415" i="2"/>
  <c r="J411" i="2"/>
  <c r="J407" i="2"/>
  <c r="J403" i="2"/>
  <c r="J399" i="2"/>
  <c r="K399" i="2" s="1"/>
  <c r="J395" i="2"/>
  <c r="J391" i="2"/>
  <c r="J387" i="2"/>
  <c r="J383" i="2"/>
  <c r="J379" i="2"/>
  <c r="J375" i="2"/>
  <c r="J371" i="2"/>
  <c r="J367" i="2"/>
  <c r="J363" i="2"/>
  <c r="J359" i="2"/>
  <c r="K359" i="2" s="1"/>
  <c r="J355" i="2"/>
  <c r="J351" i="2"/>
  <c r="K351" i="2" s="1"/>
  <c r="J347" i="2"/>
  <c r="J343" i="2"/>
  <c r="J338" i="2"/>
  <c r="J329" i="2"/>
  <c r="J320" i="2"/>
  <c r="J311" i="2"/>
  <c r="J306" i="2"/>
  <c r="J297" i="2"/>
  <c r="J288" i="2"/>
  <c r="J279" i="2"/>
  <c r="J274" i="2"/>
  <c r="J265" i="2"/>
  <c r="J256" i="2"/>
  <c r="J247" i="2"/>
  <c r="J242" i="2"/>
  <c r="J225" i="2"/>
  <c r="J218" i="2"/>
  <c r="J193" i="2"/>
  <c r="J186" i="2"/>
  <c r="J161" i="2"/>
  <c r="J154" i="2"/>
  <c r="J129" i="2"/>
  <c r="J122" i="2"/>
  <c r="J97" i="2"/>
  <c r="K97" i="2" s="1"/>
  <c r="J90" i="2"/>
  <c r="J65" i="2"/>
  <c r="J58" i="2"/>
  <c r="J33" i="2"/>
  <c r="J26" i="2"/>
  <c r="J264" i="2"/>
  <c r="J255" i="2"/>
  <c r="J250" i="2"/>
  <c r="J241" i="2"/>
  <c r="J217" i="2"/>
  <c r="J210" i="2"/>
  <c r="J185" i="2"/>
  <c r="J178" i="2"/>
  <c r="J153" i="2"/>
  <c r="K153" i="2" s="1"/>
  <c r="J146" i="2"/>
  <c r="J121" i="2"/>
  <c r="J114" i="2"/>
  <c r="J89" i="2"/>
  <c r="J82" i="2"/>
  <c r="J57" i="2"/>
  <c r="J50" i="2"/>
  <c r="J25" i="2"/>
  <c r="J18" i="2"/>
  <c r="J236" i="2"/>
  <c r="J232" i="2"/>
  <c r="J228" i="2"/>
  <c r="J224" i="2"/>
  <c r="J220" i="2"/>
  <c r="J216" i="2"/>
  <c r="J212" i="2"/>
  <c r="J208" i="2"/>
  <c r="J204" i="2"/>
  <c r="J200" i="2"/>
  <c r="J196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K140" i="2" s="1"/>
  <c r="J136" i="2"/>
  <c r="J132" i="2"/>
  <c r="J128" i="2"/>
  <c r="J124" i="2"/>
  <c r="J120" i="2"/>
  <c r="K120" i="2" s="1"/>
  <c r="J116" i="2"/>
  <c r="J112" i="2"/>
  <c r="J108" i="2"/>
  <c r="J104" i="2"/>
  <c r="J100" i="2"/>
  <c r="J96" i="2"/>
  <c r="J92" i="2"/>
  <c r="K92" i="2" s="1"/>
  <c r="J88" i="2"/>
  <c r="J84" i="2"/>
  <c r="J80" i="2"/>
  <c r="J76" i="2"/>
  <c r="J72" i="2"/>
  <c r="J68" i="2"/>
  <c r="J64" i="2"/>
  <c r="K64" i="2" s="1"/>
  <c r="J60" i="2"/>
  <c r="J56" i="2"/>
  <c r="J52" i="2"/>
  <c r="J48" i="2"/>
  <c r="J44" i="2"/>
  <c r="J40" i="2"/>
  <c r="J36" i="2"/>
  <c r="K36" i="2" s="1"/>
  <c r="J32" i="2"/>
  <c r="J28" i="2"/>
  <c r="J24" i="2"/>
  <c r="J20" i="2"/>
  <c r="J16" i="2"/>
  <c r="J12" i="2"/>
  <c r="J8" i="2"/>
  <c r="J235" i="2"/>
  <c r="J231" i="2"/>
  <c r="J227" i="2"/>
  <c r="K227" i="2" s="1"/>
  <c r="J223" i="2"/>
  <c r="J219" i="2"/>
  <c r="J215" i="2"/>
  <c r="J211" i="2"/>
  <c r="K211" i="2" s="1"/>
  <c r="J207" i="2"/>
  <c r="J203" i="2"/>
  <c r="J199" i="2"/>
  <c r="J195" i="2"/>
  <c r="J191" i="2"/>
  <c r="J187" i="2"/>
  <c r="J183" i="2"/>
  <c r="J179" i="2"/>
  <c r="J175" i="2"/>
  <c r="J171" i="2"/>
  <c r="J167" i="2"/>
  <c r="K167" i="2" s="1"/>
  <c r="J163" i="2"/>
  <c r="J159" i="2"/>
  <c r="J155" i="2"/>
  <c r="K155" i="2" s="1"/>
  <c r="J151" i="2"/>
  <c r="K151" i="2" s="1"/>
  <c r="J147" i="2"/>
  <c r="J143" i="2"/>
  <c r="J139" i="2"/>
  <c r="J135" i="2"/>
  <c r="J131" i="2"/>
  <c r="J127" i="2"/>
  <c r="J123" i="2"/>
  <c r="J119" i="2"/>
  <c r="J115" i="2"/>
  <c r="J111" i="2"/>
  <c r="J107" i="2"/>
  <c r="J103" i="2"/>
  <c r="K103" i="2" s="1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K23" i="2" s="1"/>
  <c r="J19" i="2"/>
  <c r="J15" i="2"/>
  <c r="K15" i="2" s="1"/>
  <c r="J11" i="2"/>
  <c r="J7" i="2"/>
  <c r="J5" i="2"/>
  <c r="K5" i="2" s="1"/>
  <c r="J4" i="2"/>
  <c r="K14" i="2"/>
  <c r="K8" i="2"/>
  <c r="K9" i="2"/>
  <c r="M619" i="2" a="1"/>
  <c r="M450" i="2" a="1"/>
  <c r="M508" i="2" a="1"/>
  <c r="M624" i="2" a="1"/>
  <c r="M362" i="2" a="1"/>
  <c r="M625" i="2" a="1"/>
  <c r="M245" i="2" a="1"/>
  <c r="M324" i="2" a="1"/>
  <c r="M550" i="2" a="1"/>
  <c r="M260" i="2" a="1"/>
  <c r="M551" i="2" a="1"/>
  <c r="M588" i="2" a="1"/>
  <c r="M41" i="2" a="1"/>
  <c r="M507" i="2" a="1"/>
  <c r="M169" i="2" a="1"/>
  <c r="M607" i="2" a="1"/>
  <c r="M456" i="2" a="1"/>
  <c r="M198" i="2" a="1"/>
  <c r="M633" i="2" a="1"/>
  <c r="M518" i="2" a="1"/>
  <c r="M558" i="2" a="1"/>
  <c r="M645" i="2" a="1"/>
  <c r="M436" i="2" a="1"/>
  <c r="M134" i="2" a="1"/>
  <c r="M601" i="2" a="1"/>
  <c r="M424" i="2" a="1"/>
  <c r="M165" i="2" a="1"/>
  <c r="M581" i="2" a="1"/>
  <c r="M66" i="2" a="1"/>
  <c r="M548" i="2" a="1"/>
  <c r="M386" i="2" a="1"/>
  <c r="M62" i="2" a="1"/>
  <c r="M500" i="2" a="1"/>
  <c r="M631" i="2" a="1"/>
  <c r="M638" i="2" a="1"/>
  <c r="M651" i="2" a="1"/>
  <c r="M556" i="2" a="1"/>
  <c r="M423" i="2" a="1"/>
  <c r="M162" i="2" a="1"/>
  <c r="M598" i="2" a="1"/>
  <c r="M444" i="2" a="1"/>
  <c r="M229" i="2" a="1"/>
  <c r="M583" i="2" a="1"/>
  <c r="M420" i="2" a="1"/>
  <c r="M567" i="2" a="1"/>
  <c r="M282" i="2" a="1"/>
  <c r="M9" i="2" a="1"/>
  <c r="M358" i="2" a="1"/>
  <c r="M73" i="2" a="1"/>
  <c r="M596" i="2" a="1"/>
  <c r="M512" i="2" a="1"/>
  <c r="M370" i="2" a="1"/>
  <c r="M278" i="2" a="1"/>
  <c r="M454" i="2" a="1"/>
  <c r="M650" i="2" a="1"/>
  <c r="M586" i="2" a="1"/>
  <c r="M522" i="2" a="1"/>
  <c r="M458" i="2" a="1"/>
  <c r="M376" i="2" a="1"/>
  <c r="M251" i="2" a="1"/>
  <c r="M649" i="2" a="1"/>
  <c r="M585" i="2" a="1"/>
  <c r="M515" i="2" a="1"/>
  <c r="M451" i="2" a="1"/>
  <c r="M335" i="2" a="1"/>
  <c r="M248" i="2" a="1"/>
  <c r="M549" i="2" a="1"/>
  <c r="M517" i="2" a="1"/>
  <c r="M485" i="2" a="1"/>
  <c r="M453" i="2" a="1"/>
  <c r="M421" i="2" a="1"/>
  <c r="M389" i="2" a="1"/>
  <c r="M357" i="2" a="1"/>
  <c r="M304" i="2" a="1"/>
  <c r="M240" i="2" a="1"/>
  <c r="M113" i="2" a="1"/>
  <c r="M253" i="2" a="1"/>
  <c r="M125" i="2" a="1"/>
  <c r="M339" i="2" a="1"/>
  <c r="M275" i="2" a="1"/>
  <c r="M181" i="2" a="1"/>
  <c r="M53" i="2" a="1"/>
  <c r="M403" i="2" a="1"/>
  <c r="M371" i="2" a="1"/>
  <c r="M338" i="2" a="1"/>
  <c r="M274" i="2" a="1"/>
  <c r="M186" i="2" a="1"/>
  <c r="M58" i="2" a="1"/>
  <c r="M210" i="2" a="1"/>
  <c r="M82" i="2" a="1"/>
  <c r="M224" i="2" a="1"/>
  <c r="M192" i="2" a="1"/>
  <c r="M160" i="2" a="1"/>
  <c r="M128" i="2" a="1"/>
  <c r="M96" i="2" a="1"/>
  <c r="M64" i="2" a="1"/>
  <c r="M32" i="2" a="1"/>
  <c r="M231" i="2" a="1"/>
  <c r="M199" i="2" a="1"/>
  <c r="M167" i="2" a="1"/>
  <c r="M135" i="2" a="1"/>
  <c r="M103" i="2" a="1"/>
  <c r="M71" i="2" a="1"/>
  <c r="M39" i="2" a="1"/>
  <c r="M7" i="2" a="1"/>
  <c r="M97" i="2" a="1"/>
  <c r="M44" i="2" a="1"/>
  <c r="M101" i="2" a="1"/>
  <c r="M560" i="2" a="1"/>
  <c r="M197" i="2" a="1"/>
  <c r="M611" i="2" a="1"/>
  <c r="M605" i="2" a="1"/>
  <c r="M141" i="2" a="1"/>
  <c r="M382" i="2" a="1"/>
  <c r="M368" i="2" a="1"/>
  <c r="M457" i="2" a="1"/>
  <c r="M249" i="2" a="1"/>
  <c r="M206" i="2" a="1"/>
  <c r="M193" i="2" a="1"/>
  <c r="M132" i="2" a="1"/>
  <c r="M203" i="2" a="1"/>
  <c r="M43" i="2" a="1"/>
  <c r="M589" i="2" a="1"/>
  <c r="M340" i="2" a="1"/>
  <c r="M491" i="2" a="1"/>
  <c r="M579" i="2" a="1"/>
  <c r="M321" i="2" a="1"/>
  <c r="M652" i="2" a="1"/>
  <c r="M540" i="2" a="1"/>
  <c r="M348" i="2" a="1"/>
  <c r="M648" i="2" a="1"/>
  <c r="M471" i="2" a="1"/>
  <c r="M602" i="2" a="1"/>
  <c r="M616" i="2" a="1"/>
  <c r="M643" i="2" a="1"/>
  <c r="M539" i="2" a="1"/>
  <c r="M398" i="2" a="1"/>
  <c r="M94" i="2" a="1"/>
  <c r="M592" i="2" a="1"/>
  <c r="M410" i="2" a="1"/>
  <c r="M194" i="2" a="1"/>
  <c r="M575" i="2" a="1"/>
  <c r="M394" i="2" a="1"/>
  <c r="M472" i="2" a="1"/>
  <c r="M267" i="2" a="1"/>
  <c r="M486" i="2" a="1"/>
  <c r="M331" i="2" a="1"/>
  <c r="M38" i="2" a="1"/>
  <c r="M591" i="2" a="1"/>
  <c r="M496" i="2" a="1"/>
  <c r="M364" i="2" a="1"/>
  <c r="M262" i="2" a="1"/>
  <c r="M438" i="2" a="1"/>
  <c r="M641" i="2" a="1"/>
  <c r="M577" i="2" a="1"/>
  <c r="M511" i="2" a="1"/>
  <c r="M447" i="2" a="1"/>
  <c r="M350" i="2" a="1"/>
  <c r="M239" i="2" a="1"/>
  <c r="M640" i="2" a="1"/>
  <c r="M576" i="2" a="1"/>
  <c r="M510" i="2" a="1"/>
  <c r="M446" i="2" a="1"/>
  <c r="M305" i="2" a="1"/>
  <c r="M201" i="2" a="1"/>
  <c r="M545" i="2" a="1"/>
  <c r="M513" i="2" a="1"/>
  <c r="M481" i="2" a="1"/>
  <c r="M449" i="2" a="1"/>
  <c r="M417" i="2" a="1"/>
  <c r="M385" i="2" a="1"/>
  <c r="M353" i="2" a="1"/>
  <c r="M295" i="2" a="1"/>
  <c r="M234" i="2" a="1"/>
  <c r="M106" i="2" a="1"/>
  <c r="M244" i="2" a="1"/>
  <c r="M118" i="2" a="1"/>
  <c r="M334" i="2" a="1"/>
  <c r="M270" i="2" a="1"/>
  <c r="M174" i="2" a="1"/>
  <c r="M46" i="2" a="1"/>
  <c r="M399" i="2" a="1"/>
  <c r="M367" i="2" a="1"/>
  <c r="M329" i="2" a="1"/>
  <c r="M265" i="2" a="1"/>
  <c r="M161" i="2" a="1"/>
  <c r="M33" i="2" a="1"/>
  <c r="M185" i="2" a="1"/>
  <c r="M57" i="2" a="1"/>
  <c r="M220" i="2" a="1"/>
  <c r="M188" i="2" a="1"/>
  <c r="M156" i="2" a="1"/>
  <c r="M124" i="2" a="1"/>
  <c r="M92" i="2" a="1"/>
  <c r="M60" i="2" a="1"/>
  <c r="M28" i="2" a="1"/>
  <c r="M227" i="2" a="1"/>
  <c r="M195" i="2" a="1"/>
  <c r="M163" i="2" a="1"/>
  <c r="M131" i="2" a="1"/>
  <c r="M99" i="2" a="1"/>
  <c r="M67" i="2" a="1"/>
  <c r="M35" i="2" a="1"/>
  <c r="M5" i="2" a="1"/>
  <c r="M166" i="2" a="1"/>
  <c r="M256" i="2" a="1"/>
  <c r="M127" i="2" a="1"/>
  <c r="M204" i="2" a="1"/>
  <c r="M211" i="2" a="1"/>
  <c r="M51" i="2" a="1"/>
  <c r="M482" i="2" a="1"/>
  <c r="M630" i="2" a="1"/>
  <c r="M412" i="2" a="1"/>
  <c r="M130" i="2" a="1"/>
  <c r="M653" i="2" a="1"/>
  <c r="M570" i="2" a="1"/>
  <c r="M606" i="2" a="1"/>
  <c r="M452" i="2" a="1"/>
  <c r="M390" i="2" a="1"/>
  <c r="M396" i="2" a="1"/>
  <c r="M527" i="2" a="1"/>
  <c r="M594" i="2" a="1"/>
  <c r="M553" i="2" a="1"/>
  <c r="M393" i="2" a="1"/>
  <c r="M10" i="2" a="1"/>
  <c r="M78" i="2" a="1"/>
  <c r="M343" i="2" a="1"/>
  <c r="M65" i="2" a="1"/>
  <c r="M196" i="2" a="1"/>
  <c r="M36" i="2" a="1"/>
  <c r="M171" i="2" a="1"/>
  <c r="M75" i="2" a="1"/>
  <c r="M647" i="2" a="1"/>
  <c r="M296" i="2" a="1"/>
  <c r="M378" i="2" a="1"/>
  <c r="M565" i="2" a="1"/>
  <c r="M277" i="2" a="1"/>
  <c r="M644" i="2" a="1"/>
  <c r="M523" i="2" a="1"/>
  <c r="M333" i="2" a="1"/>
  <c r="M597" i="2" a="1"/>
  <c r="M439" i="2" a="1"/>
  <c r="M580" i="2" a="1"/>
  <c r="M587" i="2" a="1"/>
  <c r="M636" i="2" a="1"/>
  <c r="M530" i="2" a="1"/>
  <c r="M360" i="2" a="1"/>
  <c r="M552" i="2" a="1"/>
  <c r="M584" i="2" a="1"/>
  <c r="M372" i="2" a="1"/>
  <c r="M126" i="2" a="1"/>
  <c r="M569" i="2" a="1"/>
  <c r="M356" i="2" a="1"/>
  <c r="M440" i="2" a="1"/>
  <c r="M246" i="2" a="1"/>
  <c r="M470" i="2" a="1"/>
  <c r="M301" i="2" a="1"/>
  <c r="M646" i="2" a="1"/>
  <c r="M582" i="2" a="1"/>
  <c r="M480" i="2" a="1"/>
  <c r="M337" i="2" a="1"/>
  <c r="M190" i="2" a="1"/>
  <c r="M422" i="2" a="1"/>
  <c r="M632" i="2" a="1"/>
  <c r="M568" i="2" a="1"/>
  <c r="M506" i="2" a="1"/>
  <c r="M442" i="2" a="1"/>
  <c r="M344" i="2" a="1"/>
  <c r="M222" i="2" a="1"/>
  <c r="M635" i="2" a="1"/>
  <c r="M571" i="2" a="1"/>
  <c r="M499" i="2" a="1"/>
  <c r="M435" i="2" a="1"/>
  <c r="M298" i="2" a="1"/>
  <c r="M541" i="2" a="1"/>
  <c r="M509" i="2" a="1"/>
  <c r="M477" i="2" a="1"/>
  <c r="M445" i="2" a="1"/>
  <c r="M413" i="2" a="1"/>
  <c r="M381" i="2" a="1"/>
  <c r="M349" i="2" a="1"/>
  <c r="M290" i="2" a="1"/>
  <c r="M209" i="2" a="1"/>
  <c r="M81" i="2" a="1"/>
  <c r="M221" i="2" a="1"/>
  <c r="M93" i="2" a="1"/>
  <c r="M325" i="2" a="1"/>
  <c r="M261" i="2" a="1"/>
  <c r="M149" i="2" a="1"/>
  <c r="M21" i="2" a="1"/>
  <c r="M395" i="2" a="1"/>
  <c r="M363" i="2" a="1"/>
  <c r="M320" i="2" a="1"/>
  <c r="M154" i="2" a="1"/>
  <c r="M26" i="2" a="1"/>
  <c r="M178" i="2" a="1"/>
  <c r="M50" i="2" a="1"/>
  <c r="M216" i="2" a="1"/>
  <c r="M184" i="2" a="1"/>
  <c r="M152" i="2" a="1"/>
  <c r="M120" i="2" a="1"/>
  <c r="M88" i="2" a="1"/>
  <c r="M56" i="2" a="1"/>
  <c r="M24" i="2" a="1"/>
  <c r="M223" i="2" a="1"/>
  <c r="M191" i="2" a="1"/>
  <c r="M159" i="2" a="1"/>
  <c r="M95" i="2" a="1"/>
  <c r="M63" i="2" a="1"/>
  <c r="M31" i="2" a="1"/>
  <c r="M4" i="2" a="1"/>
  <c r="M415" i="2" a="1"/>
  <c r="M83" i="2" a="1"/>
  <c r="M476" i="2" a="1"/>
  <c r="M462" i="2" a="1"/>
  <c r="M100" i="2" a="1"/>
  <c r="M622" i="2" a="1"/>
  <c r="M514" i="2" a="1"/>
  <c r="M319" i="2" a="1"/>
  <c r="M502" i="2" a="1"/>
  <c r="M392" i="2" a="1"/>
  <c r="M516" i="2" a="1"/>
  <c r="M572" i="2" a="1"/>
  <c r="M629" i="2" a="1"/>
  <c r="M504" i="2" a="1"/>
  <c r="M318" i="2" a="1"/>
  <c r="M639" i="2" a="1"/>
  <c r="M555" i="2" a="1"/>
  <c r="M346" i="2" a="1"/>
  <c r="M642" i="2" a="1"/>
  <c r="M561" i="2" a="1"/>
  <c r="M342" i="2" a="1"/>
  <c r="M380" i="2" a="1"/>
  <c r="M45" i="2" a="1"/>
  <c r="M459" i="2" a="1"/>
  <c r="M287" i="2" a="1"/>
  <c r="M637" i="2" a="1"/>
  <c r="M573" i="2" a="1"/>
  <c r="M464" i="2" a="1"/>
  <c r="M330" i="2" a="1"/>
  <c r="M173" i="2" a="1"/>
  <c r="M384" i="2" a="1"/>
  <c r="M627" i="2" a="1"/>
  <c r="M563" i="2" a="1"/>
  <c r="M495" i="2" a="1"/>
  <c r="M431" i="2" a="1"/>
  <c r="M314" i="2" a="1"/>
  <c r="M205" i="2" a="1"/>
  <c r="M626" i="2" a="1"/>
  <c r="M562" i="2" a="1"/>
  <c r="M494" i="2" a="1"/>
  <c r="M430" i="2" a="1"/>
  <c r="M291" i="2" a="1"/>
  <c r="M133" i="2" a="1"/>
  <c r="M537" i="2" a="1"/>
  <c r="M505" i="2" a="1"/>
  <c r="M473" i="2" a="1"/>
  <c r="M441" i="2" a="1"/>
  <c r="M409" i="2" a="1"/>
  <c r="M377" i="2" a="1"/>
  <c r="M345" i="2" a="1"/>
  <c r="M281" i="2" a="1"/>
  <c r="M202" i="2" a="1"/>
  <c r="M74" i="2" a="1"/>
  <c r="M214" i="2" a="1"/>
  <c r="M86" i="2" a="1"/>
  <c r="M316" i="2" a="1"/>
  <c r="M252" i="2" a="1"/>
  <c r="M142" i="2" a="1"/>
  <c r="M14" i="2" a="1"/>
  <c r="M391" i="2" a="1"/>
  <c r="M359" i="2" a="1"/>
  <c r="M311" i="2" a="1"/>
  <c r="M247" i="2" a="1"/>
  <c r="M129" i="2" a="1"/>
  <c r="M264" i="2" a="1"/>
  <c r="M153" i="2" a="1"/>
  <c r="M25" i="2" a="1"/>
  <c r="M212" i="2" a="1"/>
  <c r="M180" i="2" a="1"/>
  <c r="M148" i="2" a="1"/>
  <c r="M116" i="2" a="1"/>
  <c r="M84" i="2" a="1"/>
  <c r="M52" i="2" a="1"/>
  <c r="M20" i="2" a="1"/>
  <c r="M219" i="2" a="1"/>
  <c r="M187" i="2" a="1"/>
  <c r="M155" i="2" a="1"/>
  <c r="M123" i="2" a="1"/>
  <c r="M91" i="2" a="1"/>
  <c r="M59" i="2" a="1"/>
  <c r="M27" i="2" a="1"/>
  <c r="M383" i="2" a="1"/>
  <c r="M115" i="2" a="1"/>
  <c r="M593" i="2" a="1"/>
  <c r="M6" i="2" a="1"/>
  <c r="M273" i="2" a="1"/>
  <c r="M158" i="2" a="1"/>
  <c r="M475" i="2" a="1"/>
  <c r="M463" i="2" a="1"/>
  <c r="M526" i="2" a="1"/>
  <c r="M521" i="2" a="1"/>
  <c r="M361" i="2" a="1"/>
  <c r="M150" i="2" a="1"/>
  <c r="M375" i="2" a="1"/>
  <c r="M89" i="2" a="1"/>
  <c r="M68" i="2" a="1"/>
  <c r="M107" i="2" a="1"/>
  <c r="M574" i="2" a="1"/>
  <c r="M610" i="2" a="1"/>
  <c r="M109" i="2" a="1"/>
  <c r="M532" i="2" a="1"/>
  <c r="M237" i="2" a="1"/>
  <c r="M615" i="2" a="1"/>
  <c r="M488" i="2" a="1"/>
  <c r="M233" i="2" a="1"/>
  <c r="M654" i="2" a="1"/>
  <c r="M310" i="2" a="1"/>
  <c r="M460" i="2" a="1"/>
  <c r="M557" i="2" a="1"/>
  <c r="M621" i="2" a="1"/>
  <c r="M487" i="2" a="1"/>
  <c r="M289" i="2" a="1"/>
  <c r="M566" i="2" a="1"/>
  <c r="M546" i="2" a="1"/>
  <c r="M332" i="2" a="1"/>
  <c r="M634" i="2" a="1"/>
  <c r="M536" i="2" a="1"/>
  <c r="M328" i="2" a="1"/>
  <c r="M354" i="2" a="1"/>
  <c r="M604" i="2" a="1"/>
  <c r="M443" i="2" a="1"/>
  <c r="M280" i="2" a="1"/>
  <c r="M628" i="2" a="1"/>
  <c r="M564" i="2" a="1"/>
  <c r="M448" i="2" a="1"/>
  <c r="M323" i="2" a="1"/>
  <c r="M105" i="2" a="1"/>
  <c r="M352" i="2" a="1"/>
  <c r="M618" i="2" a="1"/>
  <c r="M554" i="2" a="1"/>
  <c r="M490" i="2" a="1"/>
  <c r="M426" i="2" a="1"/>
  <c r="M300" i="2" a="1"/>
  <c r="M137" i="2" a="1"/>
  <c r="M617" i="2" a="1"/>
  <c r="M547" i="2" a="1"/>
  <c r="M483" i="2" a="1"/>
  <c r="M406" i="2" a="1"/>
  <c r="M283" i="2" a="1"/>
  <c r="M98" i="2" a="1"/>
  <c r="M533" i="2" a="1"/>
  <c r="M501" i="2" a="1"/>
  <c r="M469" i="2" a="1"/>
  <c r="M437" i="2" a="1"/>
  <c r="M405" i="2" a="1"/>
  <c r="M373" i="2" a="1"/>
  <c r="M336" i="2" a="1"/>
  <c r="M272" i="2" a="1"/>
  <c r="M177" i="2" a="1"/>
  <c r="M49" i="2" a="1"/>
  <c r="M189" i="2" a="1"/>
  <c r="M61" i="2" a="1"/>
  <c r="M307" i="2" a="1"/>
  <c r="M243" i="2" a="1"/>
  <c r="M117" i="2" a="1"/>
  <c r="M419" i="2" a="1"/>
  <c r="M387" i="2" a="1"/>
  <c r="M355" i="2" a="1"/>
  <c r="M306" i="2" a="1"/>
  <c r="M242" i="2" a="1"/>
  <c r="M122" i="2" a="1"/>
  <c r="M255" i="2" a="1"/>
  <c r="M146" i="2" a="1"/>
  <c r="M18" i="2" a="1"/>
  <c r="M208" i="2" a="1"/>
  <c r="M176" i="2" a="1"/>
  <c r="M144" i="2" a="1"/>
  <c r="M112" i="2" a="1"/>
  <c r="M80" i="2" a="1"/>
  <c r="M48" i="2" a="1"/>
  <c r="M16" i="2" a="1"/>
  <c r="M215" i="2" a="1"/>
  <c r="M183" i="2" a="1"/>
  <c r="M151" i="2" a="1"/>
  <c r="M119" i="2" a="1"/>
  <c r="M87" i="2" a="1"/>
  <c r="M55" i="2" a="1"/>
  <c r="M23" i="2" a="1"/>
  <c r="M519" i="2" a="1"/>
  <c r="M529" i="2" a="1"/>
  <c r="M302" i="2" a="1"/>
  <c r="M297" i="2" a="1"/>
  <c r="M250" i="2" a="1"/>
  <c r="M236" i="2" a="1"/>
  <c r="M172" i="2" a="1"/>
  <c r="M108" i="2" a="1"/>
  <c r="M76" i="2" a="1"/>
  <c r="M12" i="2" a="1"/>
  <c r="M147" i="2" a="1"/>
  <c r="M19" i="2" a="1"/>
  <c r="M534" i="2" a="1"/>
  <c r="M468" i="2" a="1"/>
  <c r="M590" i="2" a="1"/>
  <c r="M366" i="2" a="1"/>
  <c r="M528" i="2" a="1"/>
  <c r="M595" i="2" a="1"/>
  <c r="M271" i="2" a="1"/>
  <c r="M259" i="2" a="1"/>
  <c r="M425" i="2" a="1"/>
  <c r="M138" i="2" a="1"/>
  <c r="M22" i="2" a="1"/>
  <c r="M407" i="2" a="1"/>
  <c r="M279" i="2" a="1"/>
  <c r="M217" i="2" a="1"/>
  <c r="M164" i="2" a="1"/>
  <c r="M235" i="2" a="1"/>
  <c r="M139" i="2" a="1"/>
  <c r="M266" i="2" a="1"/>
  <c r="M428" i="2" a="1"/>
  <c r="M524" i="2" a="1"/>
  <c r="M599" i="2" a="1"/>
  <c r="M466" i="2" a="1"/>
  <c r="M257" i="2" a="1"/>
  <c r="M492" i="2" a="1"/>
  <c r="M520" i="2" a="1"/>
  <c r="M317" i="2" a="1"/>
  <c r="M620" i="2" a="1"/>
  <c r="M299" i="2" a="1"/>
  <c r="M341" i="2" a="1"/>
  <c r="M535" i="2" a="1"/>
  <c r="M427" i="2" a="1"/>
  <c r="M254" i="2" a="1"/>
  <c r="M623" i="2" a="1"/>
  <c r="M559" i="2" a="1"/>
  <c r="M432" i="2" a="1"/>
  <c r="M315" i="2" a="1"/>
  <c r="M70" i="2" a="1"/>
  <c r="M309" i="2" a="1"/>
  <c r="M609" i="2" a="1"/>
  <c r="M543" i="2" a="1"/>
  <c r="M479" i="2" a="1"/>
  <c r="M414" i="2" a="1"/>
  <c r="M292" i="2" a="1"/>
  <c r="M102" i="2" a="1"/>
  <c r="M608" i="2" a="1"/>
  <c r="M542" i="2" a="1"/>
  <c r="M478" i="2" a="1"/>
  <c r="M400" i="2" a="1"/>
  <c r="M276" i="2" a="1"/>
  <c r="M30" i="2" a="1"/>
  <c r="M497" i="2" a="1"/>
  <c r="M465" i="2" a="1"/>
  <c r="M433" i="2" a="1"/>
  <c r="M401" i="2" a="1"/>
  <c r="M369" i="2" a="1"/>
  <c r="M327" i="2" a="1"/>
  <c r="M263" i="2" a="1"/>
  <c r="M170" i="2" a="1"/>
  <c r="M42" i="2" a="1"/>
  <c r="M182" i="2" a="1"/>
  <c r="M54" i="2" a="1"/>
  <c r="M238" i="2" a="1"/>
  <c r="M110" i="2" a="1"/>
  <c r="M351" i="2" a="1"/>
  <c r="M225" i="2" a="1"/>
  <c r="M121" i="2" a="1"/>
  <c r="M140" i="2" a="1"/>
  <c r="M179" i="2" a="1"/>
  <c r="M388" i="2" a="1"/>
  <c r="M434" i="2" a="1"/>
  <c r="M312" i="2" a="1"/>
  <c r="M286" i="2" a="1"/>
  <c r="M34" i="2" a="1"/>
  <c r="M489" i="2" a="1"/>
  <c r="M284" i="2" a="1"/>
  <c r="M228" i="2" a="1"/>
  <c r="M11" i="2" a="1"/>
  <c r="M77" i="2" a="1"/>
  <c r="M404" i="2" a="1"/>
  <c r="M498" i="2" a="1"/>
  <c r="M578" i="2" a="1"/>
  <c r="M455" i="2" a="1"/>
  <c r="M230" i="2" a="1"/>
  <c r="M613" i="2" a="1"/>
  <c r="M503" i="2" a="1"/>
  <c r="M303" i="2" a="1"/>
  <c r="M612" i="2" a="1"/>
  <c r="M484" i="2" a="1"/>
  <c r="M269" i="2" a="1"/>
  <c r="M326" i="2" a="1"/>
  <c r="M418" i="2" a="1"/>
  <c r="M416" i="2" a="1"/>
  <c r="M226" i="2" a="1"/>
  <c r="M614" i="2" a="1"/>
  <c r="M544" i="2" a="1"/>
  <c r="M402" i="2" a="1"/>
  <c r="M308" i="2" a="1"/>
  <c r="M37" i="2" a="1"/>
  <c r="M294" i="2" a="1"/>
  <c r="M600" i="2" a="1"/>
  <c r="M538" i="2" a="1"/>
  <c r="M474" i="2" a="1"/>
  <c r="M408" i="2" a="1"/>
  <c r="M285" i="2" a="1"/>
  <c r="M69" i="2" a="1"/>
  <c r="M603" i="2" a="1"/>
  <c r="M531" i="2" a="1"/>
  <c r="M467" i="2" a="1"/>
  <c r="M374" i="2" a="1"/>
  <c r="M268" i="2" a="1"/>
  <c r="M13" i="2" a="1"/>
  <c r="M525" i="2" a="1"/>
  <c r="M493" i="2" a="1"/>
  <c r="M461" i="2" a="1"/>
  <c r="M429" i="2" a="1"/>
  <c r="M397" i="2" a="1"/>
  <c r="M365" i="2" a="1"/>
  <c r="M322" i="2" a="1"/>
  <c r="M258" i="2" a="1"/>
  <c r="M145" i="2" a="1"/>
  <c r="M17" i="2" a="1"/>
  <c r="M157" i="2" a="1"/>
  <c r="M29" i="2" a="1"/>
  <c r="M293" i="2" a="1"/>
  <c r="M213" i="2" a="1"/>
  <c r="M85" i="2" a="1"/>
  <c r="M411" i="2" a="1"/>
  <c r="M379" i="2" a="1"/>
  <c r="M347" i="2" a="1"/>
  <c r="M288" i="2" a="1"/>
  <c r="M218" i="2" a="1"/>
  <c r="M90" i="2" a="1"/>
  <c r="M241" i="2" a="1"/>
  <c r="M114" i="2" a="1"/>
  <c r="M232" i="2" a="1"/>
  <c r="M200" i="2" a="1"/>
  <c r="M168" i="2" a="1"/>
  <c r="M136" i="2" a="1"/>
  <c r="M104" i="2" a="1"/>
  <c r="M72" i="2" a="1"/>
  <c r="M40" i="2" a="1"/>
  <c r="M8" i="2" a="1"/>
  <c r="M207" i="2" a="1"/>
  <c r="M175" i="2" a="1"/>
  <c r="M143" i="2" a="1"/>
  <c r="M111" i="2" a="1"/>
  <c r="M79" i="2" a="1"/>
  <c r="M47" i="2" a="1"/>
  <c r="M313" i="2" a="1"/>
  <c r="M313" i="2" l="1"/>
  <c r="M47" i="2"/>
  <c r="M79" i="2"/>
  <c r="M111" i="2"/>
  <c r="M143" i="2"/>
  <c r="M175" i="2"/>
  <c r="M207" i="2"/>
  <c r="M8" i="2"/>
  <c r="M40" i="2"/>
  <c r="M72" i="2"/>
  <c r="M104" i="2"/>
  <c r="M136" i="2"/>
  <c r="M168" i="2"/>
  <c r="M200" i="2"/>
  <c r="M232" i="2"/>
  <c r="M114" i="2"/>
  <c r="M241" i="2"/>
  <c r="M90" i="2"/>
  <c r="M218" i="2"/>
  <c r="M288" i="2"/>
  <c r="M347" i="2"/>
  <c r="M379" i="2"/>
  <c r="M411" i="2"/>
  <c r="M85" i="2"/>
  <c r="M213" i="2"/>
  <c r="M293" i="2"/>
  <c r="M29" i="2"/>
  <c r="M157" i="2"/>
  <c r="M17" i="2"/>
  <c r="M145" i="2"/>
  <c r="M258" i="2"/>
  <c r="M322" i="2"/>
  <c r="M365" i="2"/>
  <c r="M397" i="2"/>
  <c r="M429" i="2"/>
  <c r="M461" i="2"/>
  <c r="M493" i="2"/>
  <c r="M525" i="2"/>
  <c r="M13" i="2"/>
  <c r="M268" i="2"/>
  <c r="M374" i="2"/>
  <c r="M467" i="2"/>
  <c r="M531" i="2"/>
  <c r="M603" i="2"/>
  <c r="M69" i="2"/>
  <c r="M285" i="2"/>
  <c r="M408" i="2"/>
  <c r="M474" i="2"/>
  <c r="M538" i="2"/>
  <c r="M600" i="2"/>
  <c r="M294" i="2"/>
  <c r="M37" i="2"/>
  <c r="M308" i="2"/>
  <c r="M402" i="2"/>
  <c r="M544" i="2"/>
  <c r="M614" i="2"/>
  <c r="M226" i="2"/>
  <c r="M416" i="2"/>
  <c r="M418" i="2"/>
  <c r="M326" i="2"/>
  <c r="M269" i="2"/>
  <c r="M484" i="2"/>
  <c r="M612" i="2"/>
  <c r="M303" i="2"/>
  <c r="M503" i="2"/>
  <c r="M613" i="2"/>
  <c r="M230" i="2"/>
  <c r="M455" i="2"/>
  <c r="M578" i="2"/>
  <c r="M498" i="2"/>
  <c r="M404" i="2"/>
  <c r="M77" i="2"/>
  <c r="M11" i="2"/>
  <c r="M228" i="2"/>
  <c r="M284" i="2"/>
  <c r="M489" i="2"/>
  <c r="M34" i="2"/>
  <c r="M286" i="2"/>
  <c r="M312" i="2"/>
  <c r="M434" i="2"/>
  <c r="M388" i="2"/>
  <c r="M179" i="2"/>
  <c r="M140" i="2"/>
  <c r="M121" i="2"/>
  <c r="M225" i="2"/>
  <c r="M351" i="2"/>
  <c r="M110" i="2"/>
  <c r="M238" i="2"/>
  <c r="M54" i="2"/>
  <c r="M182" i="2"/>
  <c r="M42" i="2"/>
  <c r="M170" i="2"/>
  <c r="M263" i="2"/>
  <c r="M327" i="2"/>
  <c r="M369" i="2"/>
  <c r="M401" i="2"/>
  <c r="M433" i="2"/>
  <c r="M465" i="2"/>
  <c r="M497" i="2"/>
  <c r="M30" i="2"/>
  <c r="M276" i="2"/>
  <c r="M400" i="2"/>
  <c r="M478" i="2"/>
  <c r="M542" i="2"/>
  <c r="M608" i="2"/>
  <c r="M102" i="2"/>
  <c r="M292" i="2"/>
  <c r="M414" i="2"/>
  <c r="M479" i="2"/>
  <c r="M543" i="2"/>
  <c r="M609" i="2"/>
  <c r="M309" i="2"/>
  <c r="M70" i="2"/>
  <c r="M315" i="2"/>
  <c r="M432" i="2"/>
  <c r="M559" i="2"/>
  <c r="M623" i="2"/>
  <c r="M254" i="2"/>
  <c r="M427" i="2"/>
  <c r="M535" i="2"/>
  <c r="M341" i="2"/>
  <c r="M299" i="2"/>
  <c r="M620" i="2"/>
  <c r="M317" i="2"/>
  <c r="M520" i="2"/>
  <c r="M492" i="2"/>
  <c r="M257" i="2"/>
  <c r="M466" i="2"/>
  <c r="M599" i="2"/>
  <c r="M524" i="2"/>
  <c r="M428" i="2"/>
  <c r="M266" i="2"/>
  <c r="M139" i="2"/>
  <c r="M235" i="2"/>
  <c r="M164" i="2"/>
  <c r="M217" i="2"/>
  <c r="M279" i="2"/>
  <c r="M407" i="2"/>
  <c r="M22" i="2"/>
  <c r="M138" i="2"/>
  <c r="M425" i="2"/>
  <c r="M259" i="2"/>
  <c r="M271" i="2"/>
  <c r="M595" i="2"/>
  <c r="M528" i="2"/>
  <c r="M366" i="2"/>
  <c r="M590" i="2"/>
  <c r="M468" i="2"/>
  <c r="M534" i="2"/>
  <c r="M19" i="2"/>
  <c r="M147" i="2"/>
  <c r="M12" i="2"/>
  <c r="M76" i="2"/>
  <c r="M108" i="2"/>
  <c r="M172" i="2"/>
  <c r="M236" i="2"/>
  <c r="M250" i="2"/>
  <c r="M297" i="2"/>
  <c r="M302" i="2"/>
  <c r="M529" i="2"/>
  <c r="M519" i="2"/>
  <c r="M23" i="2"/>
  <c r="M55" i="2"/>
  <c r="M87" i="2"/>
  <c r="M119" i="2"/>
  <c r="M151" i="2"/>
  <c r="M183" i="2"/>
  <c r="M215" i="2"/>
  <c r="M16" i="2"/>
  <c r="M48" i="2"/>
  <c r="M80" i="2"/>
  <c r="M112" i="2"/>
  <c r="M144" i="2"/>
  <c r="M176" i="2"/>
  <c r="M208" i="2"/>
  <c r="M18" i="2"/>
  <c r="M146" i="2"/>
  <c r="M255" i="2"/>
  <c r="M122" i="2"/>
  <c r="M242" i="2"/>
  <c r="M306" i="2"/>
  <c r="M355" i="2"/>
  <c r="M387" i="2"/>
  <c r="M419" i="2"/>
  <c r="M117" i="2"/>
  <c r="M243" i="2"/>
  <c r="M307" i="2"/>
  <c r="M61" i="2"/>
  <c r="M189" i="2"/>
  <c r="M49" i="2"/>
  <c r="M177" i="2"/>
  <c r="M272" i="2"/>
  <c r="M336" i="2"/>
  <c r="M373" i="2"/>
  <c r="M405" i="2"/>
  <c r="M437" i="2"/>
  <c r="M469" i="2"/>
  <c r="M501" i="2"/>
  <c r="M533" i="2"/>
  <c r="M98" i="2"/>
  <c r="M283" i="2"/>
  <c r="M406" i="2"/>
  <c r="M483" i="2"/>
  <c r="M547" i="2"/>
  <c r="M617" i="2"/>
  <c r="M137" i="2"/>
  <c r="M300" i="2"/>
  <c r="M426" i="2"/>
  <c r="M490" i="2"/>
  <c r="M554" i="2"/>
  <c r="M618" i="2"/>
  <c r="M352" i="2"/>
  <c r="M105" i="2"/>
  <c r="M323" i="2"/>
  <c r="M448" i="2"/>
  <c r="M564" i="2"/>
  <c r="M628" i="2"/>
  <c r="M280" i="2"/>
  <c r="M443" i="2"/>
  <c r="M604" i="2"/>
  <c r="M354" i="2"/>
  <c r="M328" i="2"/>
  <c r="M536" i="2"/>
  <c r="M634" i="2"/>
  <c r="M332" i="2"/>
  <c r="M546" i="2"/>
  <c r="M566" i="2"/>
  <c r="M289" i="2"/>
  <c r="M487" i="2"/>
  <c r="M621" i="2"/>
  <c r="M557" i="2"/>
  <c r="M460" i="2"/>
  <c r="M310" i="2"/>
  <c r="M654" i="2"/>
  <c r="M233" i="2"/>
  <c r="M488" i="2"/>
  <c r="M615" i="2"/>
  <c r="M237" i="2"/>
  <c r="M532" i="2"/>
  <c r="M109" i="2"/>
  <c r="M610" i="2"/>
  <c r="M574" i="2"/>
  <c r="M107" i="2"/>
  <c r="M68" i="2"/>
  <c r="M89" i="2"/>
  <c r="M375" i="2"/>
  <c r="M150" i="2"/>
  <c r="M361" i="2"/>
  <c r="M521" i="2"/>
  <c r="M526" i="2"/>
  <c r="M463" i="2"/>
  <c r="M475" i="2"/>
  <c r="M158" i="2"/>
  <c r="M273" i="2"/>
  <c r="M6" i="2"/>
  <c r="M593" i="2"/>
  <c r="M115" i="2"/>
  <c r="M383" i="2"/>
  <c r="M27" i="2"/>
  <c r="M59" i="2"/>
  <c r="M91" i="2"/>
  <c r="M123" i="2"/>
  <c r="M155" i="2"/>
  <c r="M187" i="2"/>
  <c r="M219" i="2"/>
  <c r="M20" i="2"/>
  <c r="M52" i="2"/>
  <c r="M84" i="2"/>
  <c r="M116" i="2"/>
  <c r="M148" i="2"/>
  <c r="M180" i="2"/>
  <c r="M212" i="2"/>
  <c r="M25" i="2"/>
  <c r="M153" i="2"/>
  <c r="M264" i="2"/>
  <c r="M129" i="2"/>
  <c r="M247" i="2"/>
  <c r="M311" i="2"/>
  <c r="M359" i="2"/>
  <c r="M391" i="2"/>
  <c r="M14" i="2"/>
  <c r="M142" i="2"/>
  <c r="M252" i="2"/>
  <c r="M316" i="2"/>
  <c r="M86" i="2"/>
  <c r="M214" i="2"/>
  <c r="M74" i="2"/>
  <c r="M202" i="2"/>
  <c r="M281" i="2"/>
  <c r="M345" i="2"/>
  <c r="M377" i="2"/>
  <c r="M409" i="2"/>
  <c r="M441" i="2"/>
  <c r="M473" i="2"/>
  <c r="M505" i="2"/>
  <c r="M537" i="2"/>
  <c r="M133" i="2"/>
  <c r="M291" i="2"/>
  <c r="M430" i="2"/>
  <c r="M494" i="2"/>
  <c r="M562" i="2"/>
  <c r="M626" i="2"/>
  <c r="M205" i="2"/>
  <c r="M314" i="2"/>
  <c r="M431" i="2"/>
  <c r="M495" i="2"/>
  <c r="M563" i="2"/>
  <c r="M627" i="2"/>
  <c r="M384" i="2"/>
  <c r="M173" i="2"/>
  <c r="M330" i="2"/>
  <c r="M464" i="2"/>
  <c r="M573" i="2"/>
  <c r="M637" i="2"/>
  <c r="M287" i="2"/>
  <c r="M459" i="2"/>
  <c r="M45" i="2"/>
  <c r="M380" i="2"/>
  <c r="M342" i="2"/>
  <c r="M561" i="2"/>
  <c r="M642" i="2"/>
  <c r="M346" i="2"/>
  <c r="M555" i="2"/>
  <c r="M639" i="2"/>
  <c r="M318" i="2"/>
  <c r="M504" i="2"/>
  <c r="M629" i="2"/>
  <c r="M572" i="2"/>
  <c r="M516" i="2"/>
  <c r="M392" i="2"/>
  <c r="M502" i="2"/>
  <c r="M319" i="2"/>
  <c r="M514" i="2"/>
  <c r="M622" i="2"/>
  <c r="M100" i="2"/>
  <c r="M462" i="2"/>
  <c r="M476" i="2"/>
  <c r="M83" i="2"/>
  <c r="M415" i="2"/>
  <c r="M4" i="2"/>
  <c r="M31" i="2"/>
  <c r="M63" i="2"/>
  <c r="M95" i="2"/>
  <c r="M159" i="2"/>
  <c r="M191" i="2"/>
  <c r="M223" i="2"/>
  <c r="M24" i="2"/>
  <c r="M56" i="2"/>
  <c r="M88" i="2"/>
  <c r="M120" i="2"/>
  <c r="M152" i="2"/>
  <c r="M184" i="2"/>
  <c r="M216" i="2"/>
  <c r="M50" i="2"/>
  <c r="M178" i="2"/>
  <c r="M26" i="2"/>
  <c r="M154" i="2"/>
  <c r="M320" i="2"/>
  <c r="M363" i="2"/>
  <c r="M395" i="2"/>
  <c r="M21" i="2"/>
  <c r="M149" i="2"/>
  <c r="M261" i="2"/>
  <c r="M325" i="2"/>
  <c r="M93" i="2"/>
  <c r="M221" i="2"/>
  <c r="M81" i="2"/>
  <c r="M209" i="2"/>
  <c r="M290" i="2"/>
  <c r="M349" i="2"/>
  <c r="M381" i="2"/>
  <c r="M413" i="2"/>
  <c r="M445" i="2"/>
  <c r="M477" i="2"/>
  <c r="M509" i="2"/>
  <c r="M541" i="2"/>
  <c r="M298" i="2"/>
  <c r="M435" i="2"/>
  <c r="M499" i="2"/>
  <c r="M571" i="2"/>
  <c r="M635" i="2"/>
  <c r="M222" i="2"/>
  <c r="M344" i="2"/>
  <c r="M442" i="2"/>
  <c r="M506" i="2"/>
  <c r="M568" i="2"/>
  <c r="M632" i="2"/>
  <c r="M422" i="2"/>
  <c r="M190" i="2"/>
  <c r="M337" i="2"/>
  <c r="M480" i="2"/>
  <c r="M582" i="2"/>
  <c r="M646" i="2"/>
  <c r="M301" i="2"/>
  <c r="M470" i="2"/>
  <c r="M246" i="2"/>
  <c r="M440" i="2"/>
  <c r="M356" i="2"/>
  <c r="M569" i="2"/>
  <c r="M126" i="2"/>
  <c r="M372" i="2"/>
  <c r="M584" i="2"/>
  <c r="M552" i="2"/>
  <c r="M360" i="2"/>
  <c r="M530" i="2"/>
  <c r="M636" i="2"/>
  <c r="M587" i="2"/>
  <c r="M580" i="2"/>
  <c r="M439" i="2"/>
  <c r="M597" i="2"/>
  <c r="M333" i="2"/>
  <c r="M523" i="2"/>
  <c r="M644" i="2"/>
  <c r="M277" i="2"/>
  <c r="M565" i="2"/>
  <c r="M378" i="2"/>
  <c r="M296" i="2"/>
  <c r="M647" i="2"/>
  <c r="M75" i="2"/>
  <c r="M171" i="2"/>
  <c r="M36" i="2"/>
  <c r="M196" i="2"/>
  <c r="M65" i="2"/>
  <c r="M343" i="2"/>
  <c r="M78" i="2"/>
  <c r="M10" i="2"/>
  <c r="M393" i="2"/>
  <c r="M553" i="2"/>
  <c r="M594" i="2"/>
  <c r="M527" i="2"/>
  <c r="M396" i="2"/>
  <c r="M390" i="2"/>
  <c r="M452" i="2"/>
  <c r="M606" i="2"/>
  <c r="M570" i="2"/>
  <c r="M653" i="2"/>
  <c r="M130" i="2"/>
  <c r="M412" i="2"/>
  <c r="M630" i="2"/>
  <c r="M482" i="2"/>
  <c r="M51" i="2"/>
  <c r="M211" i="2"/>
  <c r="M204" i="2"/>
  <c r="M127" i="2"/>
  <c r="M256" i="2"/>
  <c r="M166" i="2"/>
  <c r="M5" i="2"/>
  <c r="M35" i="2"/>
  <c r="M67" i="2"/>
  <c r="M99" i="2"/>
  <c r="M131" i="2"/>
  <c r="M163" i="2"/>
  <c r="M195" i="2"/>
  <c r="M227" i="2"/>
  <c r="M28" i="2"/>
  <c r="M60" i="2"/>
  <c r="M92" i="2"/>
  <c r="M124" i="2"/>
  <c r="M156" i="2"/>
  <c r="M188" i="2"/>
  <c r="M220" i="2"/>
  <c r="M57" i="2"/>
  <c r="M185" i="2"/>
  <c r="M33" i="2"/>
  <c r="M161" i="2"/>
  <c r="M265" i="2"/>
  <c r="M329" i="2"/>
  <c r="M367" i="2"/>
  <c r="M399" i="2"/>
  <c r="M46" i="2"/>
  <c r="M174" i="2"/>
  <c r="M270" i="2"/>
  <c r="M334" i="2"/>
  <c r="M118" i="2"/>
  <c r="M244" i="2"/>
  <c r="M106" i="2"/>
  <c r="M234" i="2"/>
  <c r="M295" i="2"/>
  <c r="M353" i="2"/>
  <c r="M385" i="2"/>
  <c r="M417" i="2"/>
  <c r="M449" i="2"/>
  <c r="M481" i="2"/>
  <c r="M513" i="2"/>
  <c r="M545" i="2"/>
  <c r="M201" i="2"/>
  <c r="M305" i="2"/>
  <c r="M446" i="2"/>
  <c r="M510" i="2"/>
  <c r="M576" i="2"/>
  <c r="M640" i="2"/>
  <c r="M239" i="2"/>
  <c r="M350" i="2"/>
  <c r="M447" i="2"/>
  <c r="M511" i="2"/>
  <c r="M577" i="2"/>
  <c r="M641" i="2"/>
  <c r="M438" i="2"/>
  <c r="M262" i="2"/>
  <c r="M364" i="2"/>
  <c r="M496" i="2"/>
  <c r="M591" i="2"/>
  <c r="M38" i="2"/>
  <c r="M331" i="2"/>
  <c r="M486" i="2"/>
  <c r="M267" i="2"/>
  <c r="M472" i="2"/>
  <c r="M394" i="2"/>
  <c r="M575" i="2"/>
  <c r="M194" i="2"/>
  <c r="M410" i="2"/>
  <c r="M592" i="2"/>
  <c r="M94" i="2"/>
  <c r="M398" i="2"/>
  <c r="M539" i="2"/>
  <c r="M643" i="2"/>
  <c r="M616" i="2"/>
  <c r="M602" i="2"/>
  <c r="M471" i="2"/>
  <c r="M648" i="2"/>
  <c r="M348" i="2"/>
  <c r="M540" i="2"/>
  <c r="M652" i="2"/>
  <c r="M321" i="2"/>
  <c r="M579" i="2"/>
  <c r="M491" i="2"/>
  <c r="M340" i="2"/>
  <c r="M589" i="2"/>
  <c r="M43" i="2"/>
  <c r="M203" i="2"/>
  <c r="M132" i="2"/>
  <c r="M193" i="2"/>
  <c r="M206" i="2"/>
  <c r="M249" i="2"/>
  <c r="M457" i="2"/>
  <c r="M368" i="2"/>
  <c r="M382" i="2"/>
  <c r="M141" i="2"/>
  <c r="M605" i="2"/>
  <c r="M611" i="2"/>
  <c r="M197" i="2"/>
  <c r="M560" i="2"/>
  <c r="M101" i="2"/>
  <c r="M44" i="2"/>
  <c r="M97" i="2"/>
  <c r="M7" i="2"/>
  <c r="M39" i="2"/>
  <c r="M71" i="2"/>
  <c r="M103" i="2"/>
  <c r="M135" i="2"/>
  <c r="M167" i="2"/>
  <c r="M199" i="2"/>
  <c r="M231" i="2"/>
  <c r="M32" i="2"/>
  <c r="M64" i="2"/>
  <c r="M96" i="2"/>
  <c r="M128" i="2"/>
  <c r="M160" i="2"/>
  <c r="M192" i="2"/>
  <c r="M224" i="2"/>
  <c r="M82" i="2"/>
  <c r="M210" i="2"/>
  <c r="M58" i="2"/>
  <c r="M186" i="2"/>
  <c r="M274" i="2"/>
  <c r="M338" i="2"/>
  <c r="M371" i="2"/>
  <c r="M403" i="2"/>
  <c r="M53" i="2"/>
  <c r="M181" i="2"/>
  <c r="M275" i="2"/>
  <c r="M339" i="2"/>
  <c r="M125" i="2"/>
  <c r="M253" i="2"/>
  <c r="M113" i="2"/>
  <c r="M240" i="2"/>
  <c r="M304" i="2"/>
  <c r="M357" i="2"/>
  <c r="M389" i="2"/>
  <c r="M421" i="2"/>
  <c r="M453" i="2"/>
  <c r="M485" i="2"/>
  <c r="M517" i="2"/>
  <c r="M549" i="2"/>
  <c r="M248" i="2"/>
  <c r="M335" i="2"/>
  <c r="M451" i="2"/>
  <c r="M515" i="2"/>
  <c r="M585" i="2"/>
  <c r="M649" i="2"/>
  <c r="M251" i="2"/>
  <c r="M376" i="2"/>
  <c r="M458" i="2"/>
  <c r="M522" i="2"/>
  <c r="M586" i="2"/>
  <c r="M650" i="2"/>
  <c r="M454" i="2"/>
  <c r="M278" i="2"/>
  <c r="M370" i="2"/>
  <c r="M512" i="2"/>
  <c r="M596" i="2"/>
  <c r="M73" i="2"/>
  <c r="M358" i="2"/>
  <c r="M9" i="2"/>
  <c r="M282" i="2"/>
  <c r="M567" i="2"/>
  <c r="M420" i="2"/>
  <c r="M583" i="2"/>
  <c r="M229" i="2"/>
  <c r="M444" i="2"/>
  <c r="M598" i="2"/>
  <c r="M162" i="2"/>
  <c r="M423" i="2"/>
  <c r="M556" i="2"/>
  <c r="M651" i="2"/>
  <c r="M638" i="2"/>
  <c r="M631" i="2"/>
  <c r="M500" i="2"/>
  <c r="M62" i="2"/>
  <c r="M386" i="2"/>
  <c r="M548" i="2"/>
  <c r="M66" i="2"/>
  <c r="M581" i="2"/>
  <c r="M165" i="2"/>
  <c r="M424" i="2"/>
  <c r="M601" i="2"/>
  <c r="M134" i="2"/>
  <c r="M436" i="2"/>
  <c r="M645" i="2"/>
  <c r="M558" i="2"/>
  <c r="M518" i="2"/>
  <c r="M633" i="2"/>
  <c r="M198" i="2"/>
  <c r="M456" i="2"/>
  <c r="M607" i="2"/>
  <c r="M169" i="2"/>
  <c r="M507" i="2"/>
  <c r="M41" i="2"/>
  <c r="M588" i="2"/>
  <c r="M551" i="2"/>
  <c r="M260" i="2"/>
  <c r="M550" i="2"/>
  <c r="M324" i="2"/>
  <c r="M245" i="2"/>
  <c r="M625" i="2"/>
  <c r="M362" i="2"/>
  <c r="M624" i="2"/>
  <c r="M508" i="2"/>
  <c r="M450" i="2"/>
  <c r="M619" i="2"/>
  <c r="K313" i="2"/>
  <c r="K47" i="2"/>
  <c r="K79" i="2"/>
  <c r="K111" i="2"/>
  <c r="K143" i="2"/>
  <c r="K175" i="2"/>
  <c r="K207" i="2"/>
  <c r="K40" i="2"/>
  <c r="K72" i="2"/>
  <c r="K136" i="2"/>
  <c r="K168" i="2"/>
  <c r="K200" i="2"/>
  <c r="K232" i="2"/>
  <c r="K114" i="2"/>
  <c r="K241" i="2"/>
  <c r="K90" i="2"/>
  <c r="K218" i="2"/>
  <c r="K288" i="2"/>
  <c r="K347" i="2"/>
  <c r="K379" i="2"/>
  <c r="K411" i="2"/>
  <c r="K85" i="2"/>
  <c r="K213" i="2"/>
  <c r="K293" i="2"/>
  <c r="K29" i="2"/>
  <c r="K157" i="2"/>
  <c r="K17" i="2"/>
  <c r="K145" i="2"/>
  <c r="K258" i="2"/>
  <c r="K322" i="2"/>
  <c r="K365" i="2"/>
  <c r="K397" i="2"/>
  <c r="K429" i="2"/>
  <c r="K461" i="2"/>
  <c r="K493" i="2"/>
  <c r="K525" i="2"/>
  <c r="K374" i="2"/>
  <c r="K531" i="2"/>
  <c r="K69" i="2"/>
  <c r="K285" i="2"/>
  <c r="K538" i="2"/>
  <c r="K600" i="2"/>
  <c r="K37" i="2"/>
  <c r="K308" i="2"/>
  <c r="K402" i="2"/>
  <c r="K614" i="2"/>
  <c r="K226" i="2"/>
  <c r="K416" i="2"/>
  <c r="K418" i="2"/>
  <c r="K326" i="2"/>
  <c r="K269" i="2"/>
  <c r="K484" i="2"/>
  <c r="K612" i="2"/>
  <c r="K303" i="2"/>
  <c r="K503" i="2"/>
  <c r="K613" i="2"/>
  <c r="K230" i="2"/>
  <c r="K455" i="2"/>
  <c r="K578" i="2"/>
  <c r="K498" i="2"/>
  <c r="K404" i="2"/>
  <c r="K408" i="2"/>
  <c r="K11" i="2"/>
  <c r="K228" i="2"/>
  <c r="K284" i="2"/>
  <c r="K489" i="2"/>
  <c r="K34" i="2"/>
  <c r="K286" i="2"/>
  <c r="K312" i="2"/>
  <c r="K434" i="2"/>
  <c r="K388" i="2"/>
  <c r="K179" i="2"/>
  <c r="K121" i="2"/>
  <c r="K225" i="2"/>
  <c r="K110" i="2"/>
  <c r="K54" i="2"/>
  <c r="K182" i="2"/>
  <c r="K42" i="2"/>
  <c r="K170" i="2"/>
  <c r="K263" i="2"/>
  <c r="K327" i="2"/>
  <c r="K369" i="2"/>
  <c r="K401" i="2"/>
  <c r="K433" i="2"/>
  <c r="K465" i="2"/>
  <c r="K30" i="2"/>
  <c r="K276" i="2"/>
  <c r="K400" i="2"/>
  <c r="K478" i="2"/>
  <c r="K542" i="2"/>
  <c r="K608" i="2"/>
  <c r="K102" i="2"/>
  <c r="K414" i="2"/>
  <c r="K479" i="2"/>
  <c r="K543" i="2"/>
  <c r="K609" i="2"/>
  <c r="K309" i="2"/>
  <c r="K70" i="2"/>
  <c r="K315" i="2"/>
  <c r="K432" i="2"/>
  <c r="K559" i="2"/>
  <c r="K254" i="2"/>
  <c r="K427" i="2"/>
  <c r="K341" i="2"/>
  <c r="K299" i="2"/>
  <c r="K620" i="2"/>
  <c r="K520" i="2"/>
  <c r="K492" i="2"/>
  <c r="K257" i="2"/>
  <c r="K466" i="2"/>
  <c r="K599" i="2"/>
  <c r="K524" i="2"/>
  <c r="K428" i="2"/>
  <c r="K474" i="2"/>
  <c r="K238" i="2"/>
  <c r="K292" i="2"/>
  <c r="K139" i="2"/>
  <c r="K235" i="2"/>
  <c r="K164" i="2"/>
  <c r="K217" i="2"/>
  <c r="K279" i="2"/>
  <c r="K407" i="2"/>
  <c r="K138" i="2"/>
  <c r="K425" i="2"/>
  <c r="K271" i="2"/>
  <c r="K595" i="2"/>
  <c r="K528" i="2"/>
  <c r="K366" i="2"/>
  <c r="K590" i="2"/>
  <c r="K468" i="2"/>
  <c r="K19" i="2"/>
  <c r="K147" i="2"/>
  <c r="K76" i="2"/>
  <c r="K108" i="2"/>
  <c r="K172" i="2"/>
  <c r="K236" i="2"/>
  <c r="K250" i="2"/>
  <c r="K297" i="2"/>
  <c r="K302" i="2"/>
  <c r="K529" i="2"/>
  <c r="K519" i="2"/>
  <c r="K55" i="2"/>
  <c r="K87" i="2"/>
  <c r="K119" i="2"/>
  <c r="K183" i="2"/>
  <c r="K215" i="2"/>
  <c r="K16" i="2"/>
  <c r="K48" i="2"/>
  <c r="K80" i="2"/>
  <c r="K112" i="2"/>
  <c r="K176" i="2"/>
  <c r="K208" i="2"/>
  <c r="K18" i="2"/>
  <c r="K146" i="2"/>
  <c r="K255" i="2"/>
  <c r="K122" i="2"/>
  <c r="K242" i="2"/>
  <c r="K306" i="2"/>
  <c r="K355" i="2"/>
  <c r="K387" i="2"/>
  <c r="K419" i="2"/>
  <c r="K117" i="2"/>
  <c r="K243" i="2"/>
  <c r="K61" i="2"/>
  <c r="K189" i="2"/>
  <c r="K49" i="2"/>
  <c r="K177" i="2"/>
  <c r="K272" i="2"/>
  <c r="K336" i="2"/>
  <c r="K373" i="2"/>
  <c r="K405" i="2"/>
  <c r="K437" i="2"/>
  <c r="K469" i="2"/>
  <c r="K501" i="2"/>
  <c r="K533" i="2"/>
  <c r="K98" i="2"/>
  <c r="K283" i="2"/>
  <c r="K406" i="2"/>
  <c r="K483" i="2"/>
  <c r="K547" i="2"/>
  <c r="K617" i="2"/>
  <c r="K137" i="2"/>
  <c r="K300" i="2"/>
  <c r="K426" i="2"/>
  <c r="K490" i="2"/>
  <c r="K554" i="2"/>
  <c r="K618" i="2"/>
  <c r="K352" i="2"/>
  <c r="K105" i="2"/>
  <c r="K323" i="2"/>
  <c r="K448" i="2"/>
  <c r="K564" i="2"/>
  <c r="K628" i="2"/>
  <c r="K280" i="2"/>
  <c r="K443" i="2"/>
  <c r="K604" i="2"/>
  <c r="K354" i="2"/>
  <c r="K328" i="2"/>
  <c r="K536" i="2"/>
  <c r="K634" i="2"/>
  <c r="K332" i="2"/>
  <c r="K546" i="2"/>
  <c r="K566" i="2"/>
  <c r="K487" i="2"/>
  <c r="K621" i="2"/>
  <c r="K557" i="2"/>
  <c r="K460" i="2"/>
  <c r="K310" i="2"/>
  <c r="K654" i="2"/>
  <c r="K233" i="2"/>
  <c r="K488" i="2"/>
  <c r="K237" i="2"/>
  <c r="K532" i="2"/>
  <c r="K109" i="2"/>
  <c r="K268" i="2"/>
  <c r="K104" i="2"/>
  <c r="K603" i="2"/>
  <c r="K107" i="2"/>
  <c r="K68" i="2"/>
  <c r="K89" i="2"/>
  <c r="K375" i="2"/>
  <c r="K150" i="2"/>
  <c r="K361" i="2"/>
  <c r="K521" i="2"/>
  <c r="K526" i="2"/>
  <c r="K463" i="2"/>
  <c r="K475" i="2"/>
  <c r="K158" i="2"/>
  <c r="K6" i="2"/>
  <c r="K593" i="2"/>
  <c r="K115" i="2"/>
  <c r="K383" i="2"/>
  <c r="K12" i="2"/>
  <c r="K27" i="2"/>
  <c r="K59" i="2"/>
  <c r="K91" i="2"/>
  <c r="K123" i="2"/>
  <c r="K187" i="2"/>
  <c r="K219" i="2"/>
  <c r="K20" i="2"/>
  <c r="K52" i="2"/>
  <c r="K84" i="2"/>
  <c r="K116" i="2"/>
  <c r="K180" i="2"/>
  <c r="K212" i="2"/>
  <c r="K25" i="2"/>
  <c r="K264" i="2"/>
  <c r="K129" i="2"/>
  <c r="K247" i="2"/>
  <c r="K311" i="2"/>
  <c r="K391" i="2"/>
  <c r="K142" i="2"/>
  <c r="K252" i="2"/>
  <c r="K86" i="2"/>
  <c r="K214" i="2"/>
  <c r="K74" i="2"/>
  <c r="K202" i="2"/>
  <c r="K281" i="2"/>
  <c r="K345" i="2"/>
  <c r="K377" i="2"/>
  <c r="K409" i="2"/>
  <c r="K441" i="2"/>
  <c r="K505" i="2"/>
  <c r="K537" i="2"/>
  <c r="K133" i="2"/>
  <c r="K430" i="2"/>
  <c r="K562" i="2"/>
  <c r="K626" i="2"/>
  <c r="K205" i="2"/>
  <c r="K314" i="2"/>
  <c r="K495" i="2"/>
  <c r="K563" i="2"/>
  <c r="K627" i="2"/>
  <c r="K173" i="2"/>
  <c r="K330" i="2"/>
  <c r="K464" i="2"/>
  <c r="K573" i="2"/>
  <c r="K637" i="2"/>
  <c r="K287" i="2"/>
  <c r="K459" i="2"/>
  <c r="K45" i="2"/>
  <c r="K380" i="2"/>
  <c r="K342" i="2"/>
  <c r="K561" i="2"/>
  <c r="K642" i="2"/>
  <c r="K346" i="2"/>
  <c r="K555" i="2"/>
  <c r="K639" i="2"/>
  <c r="K629" i="2"/>
  <c r="K516" i="2"/>
  <c r="K392" i="2"/>
  <c r="K502" i="2"/>
  <c r="K319" i="2"/>
  <c r="K514" i="2"/>
  <c r="K622" i="2"/>
  <c r="K623" i="2"/>
  <c r="K22" i="2"/>
  <c r="K535" i="2"/>
  <c r="K273" i="2"/>
  <c r="K100" i="2"/>
  <c r="K462" i="2"/>
  <c r="K476" i="2"/>
  <c r="K83" i="2"/>
  <c r="K415" i="2"/>
  <c r="K31" i="2"/>
  <c r="K63" i="2"/>
  <c r="K95" i="2"/>
  <c r="K159" i="2"/>
  <c r="K191" i="2"/>
  <c r="K223" i="2"/>
  <c r="K24" i="2"/>
  <c r="K56" i="2"/>
  <c r="K88" i="2"/>
  <c r="K152" i="2"/>
  <c r="K184" i="2"/>
  <c r="K216" i="2"/>
  <c r="K178" i="2"/>
  <c r="K26" i="2"/>
  <c r="K154" i="2"/>
  <c r="K320" i="2"/>
  <c r="K363" i="2"/>
  <c r="K395" i="2"/>
  <c r="K21" i="2"/>
  <c r="K149" i="2"/>
  <c r="K261" i="2"/>
  <c r="K93" i="2"/>
  <c r="K221" i="2"/>
  <c r="K81" i="2"/>
  <c r="K209" i="2"/>
  <c r="K290" i="2"/>
  <c r="K349" i="2"/>
  <c r="K413" i="2"/>
  <c r="K477" i="2"/>
  <c r="K541" i="2"/>
  <c r="K435" i="2"/>
  <c r="K635" i="2"/>
  <c r="K222" i="2"/>
  <c r="K442" i="2"/>
  <c r="K506" i="2"/>
  <c r="K568" i="2"/>
  <c r="K632" i="2"/>
  <c r="K422" i="2"/>
  <c r="K190" i="2"/>
  <c r="K337" i="2"/>
  <c r="K480" i="2"/>
  <c r="K301" i="2"/>
  <c r="K470" i="2"/>
  <c r="K246" i="2"/>
  <c r="K356" i="2"/>
  <c r="K569" i="2"/>
  <c r="K126" i="2"/>
  <c r="K372" i="2"/>
  <c r="K584" i="2"/>
  <c r="K552" i="2"/>
  <c r="K530" i="2"/>
  <c r="K636" i="2"/>
  <c r="K580" i="2"/>
  <c r="K439" i="2"/>
  <c r="K597" i="2"/>
  <c r="K333" i="2"/>
  <c r="K523" i="2"/>
  <c r="K644" i="2"/>
  <c r="K277" i="2"/>
  <c r="K565" i="2"/>
  <c r="K378" i="2"/>
  <c r="K296" i="2"/>
  <c r="K647" i="2"/>
  <c r="K445" i="2"/>
  <c r="K467" i="2"/>
  <c r="K148" i="2"/>
  <c r="K431" i="2"/>
  <c r="K75" i="2"/>
  <c r="K171" i="2"/>
  <c r="K196" i="2"/>
  <c r="K65" i="2"/>
  <c r="K343" i="2"/>
  <c r="K78" i="2"/>
  <c r="K10" i="2"/>
  <c r="K393" i="2"/>
  <c r="K553" i="2"/>
  <c r="K594" i="2"/>
  <c r="K527" i="2"/>
  <c r="K396" i="2"/>
  <c r="K390" i="2"/>
  <c r="K452" i="2"/>
  <c r="K606" i="2"/>
  <c r="K570" i="2"/>
  <c r="K653" i="2"/>
  <c r="K130" i="2"/>
  <c r="K412" i="2"/>
  <c r="K630" i="2"/>
  <c r="K482" i="2"/>
  <c r="K51" i="2"/>
  <c r="K204" i="2"/>
  <c r="K127" i="2"/>
  <c r="K256" i="2"/>
  <c r="K166" i="2"/>
  <c r="K4" i="2"/>
  <c r="K67" i="2"/>
  <c r="K99" i="2"/>
  <c r="K131" i="2"/>
  <c r="K163" i="2"/>
  <c r="K195" i="2"/>
  <c r="K28" i="2"/>
  <c r="K60" i="2"/>
  <c r="K124" i="2"/>
  <c r="K156" i="2"/>
  <c r="K188" i="2"/>
  <c r="K220" i="2"/>
  <c r="K57" i="2"/>
  <c r="K33" i="2"/>
  <c r="K161" i="2"/>
  <c r="K265" i="2"/>
  <c r="K329" i="2"/>
  <c r="K367" i="2"/>
  <c r="K174" i="2"/>
  <c r="K334" i="2"/>
  <c r="K118" i="2"/>
  <c r="K244" i="2"/>
  <c r="K106" i="2"/>
  <c r="K234" i="2"/>
  <c r="K353" i="2"/>
  <c r="K385" i="2"/>
  <c r="K417" i="2"/>
  <c r="K449" i="2"/>
  <c r="K481" i="2"/>
  <c r="K513" i="2"/>
  <c r="K545" i="2"/>
  <c r="K305" i="2"/>
  <c r="K446" i="2"/>
  <c r="K510" i="2"/>
  <c r="K576" i="2"/>
  <c r="K640" i="2"/>
  <c r="K239" i="2"/>
  <c r="K350" i="2"/>
  <c r="K447" i="2"/>
  <c r="K511" i="2"/>
  <c r="K577" i="2"/>
  <c r="K641" i="2"/>
  <c r="K438" i="2"/>
  <c r="K262" i="2"/>
  <c r="K364" i="2"/>
  <c r="K591" i="2"/>
  <c r="K38" i="2"/>
  <c r="K331" i="2"/>
  <c r="K486" i="2"/>
  <c r="K267" i="2"/>
  <c r="K472" i="2"/>
  <c r="K394" i="2"/>
  <c r="K575" i="2"/>
  <c r="K194" i="2"/>
  <c r="K410" i="2"/>
  <c r="K592" i="2"/>
  <c r="K398" i="2"/>
  <c r="K539" i="2"/>
  <c r="K643" i="2"/>
  <c r="K616" i="2"/>
  <c r="K602" i="2"/>
  <c r="K471" i="2"/>
  <c r="K648" i="2"/>
  <c r="K348" i="2"/>
  <c r="K540" i="2"/>
  <c r="K652" i="2"/>
  <c r="K579" i="2"/>
  <c r="K491" i="2"/>
  <c r="K340" i="2"/>
  <c r="K589" i="2"/>
  <c r="K381" i="2"/>
  <c r="K494" i="2"/>
  <c r="K534" i="2"/>
  <c r="K50" i="2"/>
  <c r="K316" i="2"/>
  <c r="K259" i="2"/>
  <c r="K440" i="2"/>
  <c r="K504" i="2"/>
  <c r="K497" i="2"/>
  <c r="K43" i="2"/>
  <c r="K203" i="2"/>
  <c r="K132" i="2"/>
  <c r="K193" i="2"/>
  <c r="K206" i="2"/>
  <c r="K249" i="2"/>
  <c r="K368" i="2"/>
  <c r="K382" i="2"/>
  <c r="K141" i="2"/>
  <c r="K605" i="2"/>
  <c r="K611" i="2"/>
  <c r="K197" i="2"/>
  <c r="K560" i="2"/>
  <c r="K101" i="2"/>
  <c r="K44" i="2"/>
  <c r="K39" i="2"/>
  <c r="K71" i="2"/>
  <c r="K135" i="2"/>
  <c r="K199" i="2"/>
  <c r="K231" i="2"/>
  <c r="K32" i="2"/>
  <c r="K96" i="2"/>
  <c r="K128" i="2"/>
  <c r="K160" i="2"/>
  <c r="K192" i="2"/>
  <c r="K224" i="2"/>
  <c r="K82" i="2"/>
  <c r="K210" i="2"/>
  <c r="K58" i="2"/>
  <c r="K186" i="2"/>
  <c r="K274" i="2"/>
  <c r="K338" i="2"/>
  <c r="K371" i="2"/>
  <c r="K403" i="2"/>
  <c r="K53" i="2"/>
  <c r="K181" i="2"/>
  <c r="K275" i="2"/>
  <c r="K339" i="2"/>
  <c r="K253" i="2"/>
  <c r="K113" i="2"/>
  <c r="K240" i="2"/>
  <c r="K304" i="2"/>
  <c r="K357" i="2"/>
  <c r="K421" i="2"/>
  <c r="K453" i="2"/>
  <c r="K485" i="2"/>
  <c r="K517" i="2"/>
  <c r="K549" i="2"/>
  <c r="K248" i="2"/>
  <c r="K335" i="2"/>
  <c r="K451" i="2"/>
  <c r="K515" i="2"/>
  <c r="K251" i="2"/>
  <c r="K376" i="2"/>
  <c r="K458" i="2"/>
  <c r="K586" i="2"/>
  <c r="K650" i="2"/>
  <c r="K278" i="2"/>
  <c r="K370" i="2"/>
  <c r="K512" i="2"/>
  <c r="K596" i="2"/>
  <c r="K73" i="2"/>
  <c r="K358" i="2"/>
  <c r="K282" i="2"/>
  <c r="K567" i="2"/>
  <c r="K420" i="2"/>
  <c r="K583" i="2"/>
  <c r="K229" i="2"/>
  <c r="K444" i="2"/>
  <c r="K598" i="2"/>
  <c r="K162" i="2"/>
  <c r="K556" i="2"/>
  <c r="K651" i="2"/>
  <c r="K638" i="2"/>
  <c r="K631" i="2"/>
  <c r="K500" i="2"/>
  <c r="K62" i="2"/>
  <c r="K386" i="2"/>
  <c r="K548" i="2"/>
  <c r="K499" i="2"/>
  <c r="K294" i="2"/>
  <c r="K185" i="2"/>
  <c r="K615" i="2"/>
  <c r="K144" i="2"/>
  <c r="K77" i="2"/>
  <c r="K35" i="2"/>
  <c r="K454" i="2"/>
  <c r="K509" i="2"/>
  <c r="K610" i="2"/>
  <c r="K165" i="2"/>
  <c r="K436" i="2"/>
  <c r="K198" i="2"/>
  <c r="K645" i="2"/>
  <c r="K550" i="2"/>
  <c r="K266" i="2"/>
  <c r="K245" i="2"/>
  <c r="K633" i="2"/>
  <c r="K507" i="2"/>
  <c r="K581" i="2"/>
  <c r="K607" i="2"/>
  <c r="K601" i="2"/>
  <c r="K134" i="2"/>
  <c r="K518" i="2"/>
  <c r="K169" i="2"/>
  <c r="K41" i="2"/>
  <c r="K260" i="2"/>
  <c r="K558" i="2"/>
  <c r="K66" i="2"/>
  <c r="K619" i="2"/>
  <c r="K424" i="2"/>
  <c r="K13" i="2"/>
  <c r="K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<sst xmlns="http://schemas.openxmlformats.org/spreadsheetml/2006/main" count="20" uniqueCount="16">
  <si>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Invoice Amount</t>
  </si>
  <si>
    <t>Parent ID</t>
  </si>
  <si>
    <t>Y</t>
  </si>
  <si>
    <t>Calculated Fee</t>
  </si>
  <si>
    <t>Sibling Discount</t>
  </si>
  <si>
    <t>Helper Discount</t>
  </si>
  <si>
    <t>Previous Balance</t>
  </si>
  <si>
    <t>Helper Hours</t>
  </si>
  <si>
    <t>Arrears Penalty</t>
  </si>
  <si>
    <t>Parent Invoices</t>
  </si>
  <si>
    <t>Paid Amount</t>
  </si>
  <si>
    <t>New Balance</t>
  </si>
  <si>
    <t>Pay Plan</t>
  </si>
  <si>
    <t>Emp?</t>
  </si>
  <si>
    <t>Enroled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</si>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</sst>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7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" fillId="2" borderId="0" xfId="1" applyFont="1"/>
    <xf numFmtId="0" fontId="4" fillId="2" borderId="0" xfId="1" applyFont="1" applyAlignment="1">
      <alignment horizontal="center"/>
    </xf>
    <xf numFmtId="0" fontId="3" fillId="2" borderId="0" xfId="1" applyFont="1" applyAlignment="1">
      <alignment horizontal="left"/>
    </xf>
    <xf numFmtId="0" fontId="1" fillId="3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164" fontId="4" fillId="2" borderId="0" xfId="1" applyNumberFormat="1" applyFont="1"/>
    <xf numFmtId="164" fontId="1" fillId="3" borderId="2" xfId="0" applyNumberFormat="1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right"/>
    </xf>
    <xf numFmtId="164" fontId="0" fillId="0" borderId="4" xfId="0" applyNumberFormat="1" applyFont="1" applyBorder="1" applyAlignment="1">
      <alignment horizontal="right"/>
    </xf>
    <xf numFmtId="164" fontId="0" fillId="0" borderId="5" xfId="0" applyNumberFormat="1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164" fontId="0" fillId="0" borderId="6" xfId="0" applyNumberFormat="1" applyFont="1" applyBorder="1" applyAlignment="1">
      <alignment horizontal="right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54"/>
  <sheetViews>
    <sheetView tabSelected="1" zoomScale="85" zoomScaleNormal="85" workbookViewId="0">
      <selection activeCell="D11" sqref="D11"/>
    </sheetView>
  </sheetViews>
  <sheetFormatPr defaultColWidth="8.796875" defaultRowHeight="13.8" x14ac:dyDescent="0.25"/>
  <cols>
    <col min="1" max="1" width="8.69921875" style="2" customWidth="1"/>
    <col min="2" max="2" width="12.5" customWidth="1"/>
    <col min="3" max="3" width="9.296875" style="3" bestFit="1" customWidth="1"/>
    <col min="4" max="4" width="13" customWidth="1"/>
    <col min="5" max="5" width="8.69921875" style="3" customWidth="1"/>
    <col min="6" max="6" width="10.5" customWidth="1"/>
    <col min="7" max="7" width="11.296875" customWidth="1"/>
    <col min="8" max="8" width="8.69921875" style="3" customWidth="1"/>
    <col min="9" max="9" width="7.69921875" style="3" customWidth="1"/>
    <col min="10" max="10" width="11.69921875" style="1" customWidth="1"/>
    <col min="11" max="13" width="11.19921875" customWidth="1"/>
    <col min="14" max="14" width="5.69921875" customWidth="1"/>
  </cols>
  <sheetData>
    <row r="1" spans="1:13" ht="34.200000000000003" customHeight="1" x14ac:dyDescent="0.5">
      <c r="A1" s="6" t="s">
        <v>9</v>
      </c>
      <c r="B1" s="4"/>
      <c r="C1" s="5"/>
      <c r="D1" s="4"/>
      <c r="E1" s="5"/>
      <c r="F1" s="4"/>
      <c r="G1" s="4"/>
      <c r="H1" s="5"/>
      <c r="I1" s="5"/>
      <c r="J1" s="10"/>
      <c r="K1" s="4"/>
      <c r="L1" s="4"/>
      <c r="M1" s="4"/>
    </row>
    <row r="3" spans="1:13" ht="27.6" x14ac:dyDescent="0.25">
      <c r="A3" s="8" t="s">
        <v>1</v>
      </c>
      <c r="B3" s="7" t="s">
        <v>6</v>
      </c>
      <c r="C3" s="7" t="s">
        <v>12</v>
      </c>
      <c r="D3" s="7" t="s">
        <v>3</v>
      </c>
      <c r="E3" s="7" t="s">
        <v>14</v>
      </c>
      <c r="F3" s="7" t="s">
        <v>4</v>
      </c>
      <c r="G3" s="7" t="s">
        <v>8</v>
      </c>
      <c r="H3" s="7" t="s">
        <v>7</v>
      </c>
      <c r="I3" s="7" t="s">
        <v>13</v>
      </c>
      <c r="J3" s="11" t="s">
        <v>5</v>
      </c>
      <c r="K3" s="7" t="s">
        <v>0</v>
      </c>
      <c r="L3" s="7" t="s">
        <v>10</v>
      </c>
      <c r="M3" s="9" t="s">
        <v>11</v>
      </c>
    </row>
    <row r="4" spans="1:13" x14ac:dyDescent="0.25">
      <c r="A4" s="12">
        <v>30008</v>
      </c>
      <c r="B4" s="13">
        <v>0</v>
      </c>
      <c r="C4" s="12"/>
      <c r="D4" s="13">
        <v>11757</v>
      </c>
      <c r="E4" s="12">
        <v>3</v>
      </c>
      <c r="F4" s="13" cm="1">
        <f t="array" ref="F4">IFERROR(atlaide(E4,B4),"Kluda!")</f>
        <v>0</v>
      </c>
      <c r="G4" s="13"/>
      <c r="H4" s="12">
        <v>16</v>
      </c>
      <c r="I4" s="12"/>
      <c r="J4" s="13" cm="1">
        <f t="array" ref="J4">palidzibas_d(H4,I4)</f>
        <v>0</v>
      </c>
      <c r="K4" s="13">
        <f>IFERROR(('Invoice Data'!$B4+'Invoice Data'!$D4-'Invoice Data'!$F4-'Invoice Data'!$J4+'Invoice Data'!$G4),"")</f>
        <v>11757</v>
      </c>
      <c r="L4" s="13">
        <v>11757</v>
      </c>
      <c r="M4" s="14" cm="1">
        <f t="array" ref="M4">IFERROR(jauna_bil(D4,F4,J4,B4,L4),"Kluda!")</f>
        <v>23514</v>
      </c>
    </row>
    <row r="5" spans="1:13" x14ac:dyDescent="0.25">
      <c r="A5" s="12">
        <v>30017</v>
      </c>
      <c r="B5" s="13">
        <v>0</v>
      </c>
      <c r="C5" s="12"/>
      <c r="D5" s="13">
        <v>5193</v>
      </c>
      <c r="E5" s="12">
        <v>1</v>
      </c>
      <c r="F5" s="13" cm="1">
        <f t="array" ref="F5">IFERROR(atlaide(E5,B5),"Kluda!")</f>
        <v>0</v>
      </c>
      <c r="G5" s="13"/>
      <c r="H5" s="12">
        <v>0</v>
      </c>
      <c r="I5" s="12" t="b">
        <v>1</v>
      </c>
      <c r="J5" s="13" cm="1">
        <f t="array" ref="J5">palidzibas_d(H5,I5)</f>
        <v>0</v>
      </c>
      <c r="K5" s="13">
        <f>IFERROR(('Invoice Data'!$B5+'Invoice Data'!$D5-'Invoice Data'!$F5-'Invoice Data'!$J5+'Invoice Data'!$G5),"")</f>
        <v>5193</v>
      </c>
      <c r="L5" s="13">
        <v>5193</v>
      </c>
      <c r="M5" s="14" cm="1">
        <f t="array" ref="M5">IFERROR(jauna_bil(D5,F5,J5,B5,L5),"Kluda!")</f>
        <v>10386</v>
      </c>
    </row>
    <row r="6" spans="1:13" x14ac:dyDescent="0.25">
      <c r="A6" s="12">
        <v>30035</v>
      </c>
      <c r="B6" s="13">
        <v>3645</v>
      </c>
      <c r="C6" s="12"/>
      <c r="D6" s="13">
        <v>5086</v>
      </c>
      <c r="E6" s="12">
        <v>1</v>
      </c>
      <c r="F6" s="13" cm="1">
        <f t="array" ref="F6">IFERROR(atlaide(E6,B6),"Kluda!")</f>
        <v>109.35</v>
      </c>
      <c r="G6" s="13"/>
      <c r="H6" s="12">
        <v>5</v>
      </c>
      <c r="I6" s="12"/>
      <c r="J6" s="13" cm="1">
        <f t="array" ref="J6">palidzibas_d(H6,I6)</f>
        <v>0</v>
      </c>
      <c r="K6" s="13">
        <f>IFERROR(('Invoice Data'!$B6+'Invoice Data'!$D6-'Invoice Data'!$F6-'Invoice Data'!$J6+'Invoice Data'!$G6),"")</f>
        <v>8621.65</v>
      </c>
      <c r="L6" s="13">
        <v>8731</v>
      </c>
      <c r="M6" s="14" cm="1">
        <f t="array" ref="M6">IFERROR(jauna_bil(D6,F6,J6,B6,L6),"Kluda!")</f>
        <v>10062.65</v>
      </c>
    </row>
    <row r="7" spans="1:13" x14ac:dyDescent="0.25">
      <c r="A7" s="12">
        <v>30044</v>
      </c>
      <c r="B7" s="13">
        <v>548.45000000000005</v>
      </c>
      <c r="C7" s="12" t="s">
        <v>2</v>
      </c>
      <c r="D7" s="13">
        <v>3589</v>
      </c>
      <c r="E7" s="12">
        <v>10</v>
      </c>
      <c r="F7" s="13" cm="1">
        <f t="array" ref="F7">IFERROR(atlaide(E7,B7),"Kluda!")</f>
        <v>164.535</v>
      </c>
      <c r="G7" s="13"/>
      <c r="H7" s="12">
        <v>6</v>
      </c>
      <c r="I7" s="12"/>
      <c r="J7" s="13" cm="1">
        <f t="array" ref="J7">palidzibas_d(H7,I7)</f>
        <v>0</v>
      </c>
      <c r="K7" s="13">
        <f>IFERROR(('Invoice Data'!$B7+'Invoice Data'!$D7-'Invoice Data'!$F7-'Invoice Data'!$J7+'Invoice Data'!$G7),"")</f>
        <v>3972.915</v>
      </c>
      <c r="L7" s="13">
        <v>3589</v>
      </c>
      <c r="M7" s="14" cm="1">
        <f t="array" ref="M7">IFERROR(jauna_bil(D7,F7,J7,B7,L7),"Kluda!")</f>
        <v>6465.0150000000003</v>
      </c>
    </row>
    <row r="8" spans="1:13" x14ac:dyDescent="0.25">
      <c r="A8" s="12">
        <v>30053</v>
      </c>
      <c r="B8" s="13">
        <v>0</v>
      </c>
      <c r="C8" s="12"/>
      <c r="D8" s="13">
        <v>7377</v>
      </c>
      <c r="E8" s="12">
        <v>2</v>
      </c>
      <c r="F8" s="13" cm="1">
        <f t="array" ref="F8">IFERROR(atlaide(E8,B8),"Kluda!")</f>
        <v>0</v>
      </c>
      <c r="G8" s="13"/>
      <c r="H8" s="12">
        <v>0</v>
      </c>
      <c r="I8" s="12"/>
      <c r="J8" s="13" cm="1">
        <f t="array" ref="J8">palidzibas_d(H8,I8)</f>
        <v>0</v>
      </c>
      <c r="K8" s="13">
        <f>IFERROR(('Invoice Data'!$B8+'Invoice Data'!$D8-'Invoice Data'!$F8-'Invoice Data'!$J8+'Invoice Data'!$G8),"")</f>
        <v>7377</v>
      </c>
      <c r="L8" s="13">
        <v>7377</v>
      </c>
      <c r="M8" s="14" cm="1">
        <f t="array" ref="M8">IFERROR(jauna_bil(D8,F8,J8,B8,L8),"Kluda!")</f>
        <v>14754</v>
      </c>
    </row>
    <row r="9" spans="1:13" x14ac:dyDescent="0.25">
      <c r="A9" s="12">
        <v>30099</v>
      </c>
      <c r="B9" s="13">
        <v>0</v>
      </c>
      <c r="C9" s="12"/>
      <c r="D9" s="13">
        <v>3554</v>
      </c>
      <c r="E9" s="12">
        <v>1</v>
      </c>
      <c r="F9" s="13" cm="1">
        <f t="array" ref="F9">IFERROR(atlaide(E9,B9),"Kluda!")</f>
        <v>0</v>
      </c>
      <c r="G9" s="13"/>
      <c r="H9" s="12">
        <v>9</v>
      </c>
      <c r="I9" s="12"/>
      <c r="J9" s="13" cm="1">
        <f t="array" ref="J9">palidzibas_d(H9,I9)</f>
        <v>0</v>
      </c>
      <c r="K9" s="13">
        <f>IFERROR(('Invoice Data'!$B9+'Invoice Data'!$D9-'Invoice Data'!$F9-'Invoice Data'!$J9+'Invoice Data'!$G9),"")</f>
        <v>3554</v>
      </c>
      <c r="L9" s="13">
        <v>0</v>
      </c>
      <c r="M9" s="14" cm="1">
        <f t="array" ref="M9">IFERROR(jauna_bil(D9,F9,J9,B9,L9),"Kluda!")</f>
        <v>3554</v>
      </c>
    </row>
    <row r="10" spans="1:13" x14ac:dyDescent="0.25">
      <c r="A10" s="12">
        <v>30115</v>
      </c>
      <c r="B10" s="13">
        <v>-1200</v>
      </c>
      <c r="C10" s="12"/>
      <c r="D10" s="13">
        <v>4650</v>
      </c>
      <c r="E10" s="12">
        <v>0</v>
      </c>
      <c r="F10" s="13" cm="1">
        <f t="array" ref="F10">IFERROR(atlaide(E10,B10),"Kluda!")</f>
        <v>0</v>
      </c>
      <c r="G10" s="13"/>
      <c r="H10" s="12">
        <v>0</v>
      </c>
      <c r="I10" s="12" t="b">
        <v>1</v>
      </c>
      <c r="J10" s="13" cm="1">
        <f t="array" ref="J10">palidzibas_d(H10,I10)</f>
        <v>0</v>
      </c>
      <c r="K10" s="13">
        <f>IFERROR(('Invoice Data'!$B10+'Invoice Data'!$D10-'Invoice Data'!$F10-'Invoice Data'!$J10+'Invoice Data'!$G10),"")</f>
        <v>3450</v>
      </c>
      <c r="L10" s="13">
        <v>0</v>
      </c>
      <c r="M10" s="14" cm="1">
        <f t="array" ref="M10">IFERROR(jauna_bil(D10,F10,J10,B10,L10),"Kluda!")</f>
        <v>5850</v>
      </c>
    </row>
    <row r="11" spans="1:13" x14ac:dyDescent="0.25">
      <c r="A11" s="12">
        <v>30133</v>
      </c>
      <c r="B11" s="13">
        <v>0</v>
      </c>
      <c r="C11" s="12"/>
      <c r="D11" s="13">
        <v>9031</v>
      </c>
      <c r="E11" s="12">
        <v>2</v>
      </c>
      <c r="F11" s="13" cm="1">
        <f t="array" ref="F11">IFERROR(atlaide(E11,B11),"Kluda!")</f>
        <v>0</v>
      </c>
      <c r="G11" s="13"/>
      <c r="H11" s="12">
        <v>7</v>
      </c>
      <c r="I11" s="12"/>
      <c r="J11" s="13" cm="1">
        <f t="array" ref="J11">palidzibas_d(H11,I11)</f>
        <v>0</v>
      </c>
      <c r="K11" s="13">
        <f>IFERROR(('Invoice Data'!$B11+'Invoice Data'!$D11-'Invoice Data'!$F11-'Invoice Data'!$J11+'Invoice Data'!$G11),"")</f>
        <v>9031</v>
      </c>
      <c r="L11" s="13">
        <v>7377</v>
      </c>
      <c r="M11" s="14" cm="1">
        <f t="array" ref="M11">IFERROR(jauna_bil(D11,F11,J11,B11,L11),"Kluda!")</f>
        <v>16408</v>
      </c>
    </row>
    <row r="12" spans="1:13" x14ac:dyDescent="0.25">
      <c r="A12" s="12">
        <v>30142</v>
      </c>
      <c r="B12" s="13">
        <v>0</v>
      </c>
      <c r="C12" s="12"/>
      <c r="D12" s="13">
        <v>3943</v>
      </c>
      <c r="E12" s="12">
        <v>1</v>
      </c>
      <c r="F12" s="13" cm="1">
        <f t="array" ref="F12">IFERROR(atlaide(E12,B12),"Kluda!")</f>
        <v>0</v>
      </c>
      <c r="G12" s="13"/>
      <c r="H12" s="12">
        <v>2</v>
      </c>
      <c r="I12" s="12"/>
      <c r="J12" s="13" cm="1">
        <f t="array" ref="J12">palidzibas_d(H12,I12)</f>
        <v>0</v>
      </c>
      <c r="K12" s="13">
        <f>IFERROR(('Invoice Data'!$B12+'Invoice Data'!$D12-'Invoice Data'!$F12-'Invoice Data'!$J12+'Invoice Data'!$G12),"")</f>
        <v>3943</v>
      </c>
      <c r="L12" s="13">
        <v>0</v>
      </c>
      <c r="M12" s="14" cm="1">
        <f t="array" ref="M12">IFERROR(jauna_bil(D12,F12,J12,B12,L12),"Kluda!")</f>
        <v>3943</v>
      </c>
    </row>
    <row r="13" spans="1:13" x14ac:dyDescent="0.25">
      <c r="A13" s="12">
        <v>30151</v>
      </c>
      <c r="B13" s="13">
        <v>0</v>
      </c>
      <c r="C13" s="12"/>
      <c r="D13" s="13">
        <v>4197</v>
      </c>
      <c r="E13" s="12">
        <v>1</v>
      </c>
      <c r="F13" s="13" cm="1">
        <f t="array" ref="F13">IFERROR(atlaide(E13,B13),"Kluda!")</f>
        <v>0</v>
      </c>
      <c r="G13" s="13"/>
      <c r="H13" s="12">
        <v>16</v>
      </c>
      <c r="I13" s="12"/>
      <c r="J13" s="13" cm="1">
        <f t="array" ref="J13">palidzibas_d(H13,I13)</f>
        <v>0</v>
      </c>
      <c r="K13" s="13">
        <f>IFERROR(('Invoice Data'!$B13+'Invoice Data'!$D13-'Invoice Data'!$F13-'Invoice Data'!$J13+'Invoice Data'!$G13),"")</f>
        <v>4197</v>
      </c>
      <c r="L13" s="13">
        <v>0</v>
      </c>
      <c r="M13" s="14" cm="1">
        <f t="array" ref="M13">IFERROR(jauna_bil(D13,F13,J13,B13,L13),"Kluda!")</f>
        <v>4197</v>
      </c>
    </row>
    <row r="14" spans="1:13" x14ac:dyDescent="0.25">
      <c r="A14" s="12">
        <v>30160</v>
      </c>
      <c r="B14" s="13">
        <v>0</v>
      </c>
      <c r="C14" s="12"/>
      <c r="D14" s="13">
        <v>8234</v>
      </c>
      <c r="E14" s="12">
        <v>2</v>
      </c>
      <c r="F14" s="13" cm="1">
        <f t="array" ref="F14">IFERROR(atlaide(E14,B14),"Kluda!")</f>
        <v>0</v>
      </c>
      <c r="G14" s="13"/>
      <c r="H14" s="12">
        <v>18</v>
      </c>
      <c r="I14" s="12"/>
      <c r="J14" s="13" cm="1">
        <f t="array" ref="J14">palidzibas_d(H14,I14)</f>
        <v>0</v>
      </c>
      <c r="K14" s="13">
        <f>IFERROR(('Invoice Data'!$B14+'Invoice Data'!$D14-'Invoice Data'!$F14-'Invoice Data'!$J14+'Invoice Data'!$G14),"")</f>
        <v>8234</v>
      </c>
      <c r="L14" s="13">
        <v>0</v>
      </c>
      <c r="M14" s="14" cm="1">
        <f t="array" ref="M14">IFERROR(jauna_bil(D14,F14,J14,B14,L14),"Kluda!")</f>
        <v>8234</v>
      </c>
    </row>
    <row r="15" spans="1:13" x14ac:dyDescent="0.25">
      <c r="A15" s="12">
        <v>30188</v>
      </c>
      <c r="B15" s="13">
        <v>0</v>
      </c>
      <c r="C15" s="12"/>
      <c r="D15" s="13">
        <v>6278</v>
      </c>
      <c r="E15" s="12">
        <v>-2</v>
      </c>
      <c r="F15" s="13" t="str" cm="1">
        <f t="array" ref="F15">IFERROR(atlaide(E15,B15),"Kluda!")</f>
        <v>Kluda!</v>
      </c>
      <c r="G15" s="13"/>
      <c r="H15" s="12">
        <v>16</v>
      </c>
      <c r="I15" s="12"/>
      <c r="J15" s="13" cm="1">
        <f t="array" ref="J15">palidzibas_d(H15,I15)</f>
        <v>0</v>
      </c>
      <c r="K15" s="13" t="str">
        <f>IFERROR(('Invoice Data'!$B15+'Invoice Data'!$D15-'Invoice Data'!$F15-'Invoice Data'!$J15+'Invoice Data'!$G15),"Kluda!")</f>
        <v>Kluda!</v>
      </c>
      <c r="L15" s="13">
        <v>0</v>
      </c>
      <c r="M15" s="14" t="str" cm="1">
        <f t="array" ref="M15">IFERROR(jauna_bil(D15,F15,J15,B15,L15),"Kluda!")</f>
        <v>Kluda!</v>
      </c>
    </row>
    <row r="16" spans="1:13" x14ac:dyDescent="0.25">
      <c r="A16" s="12">
        <v>30197</v>
      </c>
      <c r="B16" s="13">
        <v>0</v>
      </c>
      <c r="C16" s="12"/>
      <c r="D16" s="13">
        <v>18626</v>
      </c>
      <c r="E16" s="12">
        <v>4</v>
      </c>
      <c r="F16" s="13" cm="1">
        <f t="array" ref="F16">IFERROR(atlaide(E16,B16),"Kluda!")</f>
        <v>0</v>
      </c>
      <c r="G16" s="13"/>
      <c r="H16" s="12">
        <v>0</v>
      </c>
      <c r="I16" s="12"/>
      <c r="J16" s="13" cm="1">
        <f t="array" ref="J16">palidzibas_d(H16,I16)</f>
        <v>0</v>
      </c>
      <c r="K16" s="13">
        <f>IFERROR(('Invoice Data'!$B16+'Invoice Data'!$D16-'Invoice Data'!$F16-'Invoice Data'!$J16+'Invoice Data'!$G16),"Kluda!")</f>
        <v>18626</v>
      </c>
      <c r="L16" s="13">
        <v>0</v>
      </c>
      <c r="M16" s="14" cm="1">
        <f t="array" ref="M16">IFERROR(jauna_bil(D16,F16,J16,B16,L16),"Kluda!")</f>
        <v>18626</v>
      </c>
    </row>
    <row r="17" spans="1:13" x14ac:dyDescent="0.25">
      <c r="A17" s="12">
        <v>30204</v>
      </c>
      <c r="B17" s="13">
        <v>0</v>
      </c>
      <c r="C17" s="12"/>
      <c r="D17" s="13">
        <v>9386</v>
      </c>
      <c r="E17" s="12">
        <v>2</v>
      </c>
      <c r="F17" s="13" cm="1">
        <f t="array" ref="F17">IFERROR(atlaide(E17,B17),"Kluda!")</f>
        <v>0</v>
      </c>
      <c r="G17" s="13"/>
      <c r="H17" s="12">
        <v>0</v>
      </c>
      <c r="I17" s="12" t="b">
        <v>1</v>
      </c>
      <c r="J17" s="13" cm="1">
        <f t="array" ref="J17">palidzibas_d(H17,I17)</f>
        <v>0</v>
      </c>
      <c r="K17" s="13">
        <f>IFERROR(('Invoice Data'!$B17+'Invoice Data'!$D17-'Invoice Data'!$F17-'Invoice Data'!$J17+'Invoice Data'!$G17),"Kluda!")</f>
        <v>9386</v>
      </c>
      <c r="L17" s="13">
        <v>0</v>
      </c>
      <c r="M17" s="14" cm="1">
        <f t="array" ref="M17">IFERROR(jauna_bil(D17,F17,J17,B17,L17),"Kluda!")</f>
        <v>9386</v>
      </c>
    </row>
    <row r="18" spans="1:13" x14ac:dyDescent="0.25">
      <c r="A18" s="12">
        <v>30213</v>
      </c>
      <c r="B18" s="13">
        <v>0</v>
      </c>
      <c r="C18" s="12"/>
      <c r="D18" s="13">
        <v>10092</v>
      </c>
      <c r="E18" s="12">
        <v>2</v>
      </c>
      <c r="F18" s="13" cm="1">
        <f t="array" ref="F18">IFERROR(atlaide(E18,B18),"Kluda!")</f>
        <v>0</v>
      </c>
      <c r="G18" s="13"/>
      <c r="H18" s="12">
        <v>10</v>
      </c>
      <c r="I18" s="12"/>
      <c r="J18" s="13" cm="1">
        <f t="array" ref="J18">palidzibas_d(H18,I18)</f>
        <v>0</v>
      </c>
      <c r="K18" s="13">
        <f>IFERROR(('Invoice Data'!$B18+'Invoice Data'!$D18-'Invoice Data'!$F18-'Invoice Data'!$J18+'Invoice Data'!$G18),"Kluda!")</f>
        <v>10092</v>
      </c>
      <c r="L18" s="13">
        <v>0</v>
      </c>
      <c r="M18" s="14" cm="1">
        <f t="array" ref="M18">IFERROR(jauna_bil(D18,F18,J18,B18,L18),"Kluda!")</f>
        <v>10092</v>
      </c>
    </row>
    <row r="19" spans="1:13" x14ac:dyDescent="0.25">
      <c r="A19" s="12">
        <v>30222</v>
      </c>
      <c r="B19" s="13">
        <v>0</v>
      </c>
      <c r="C19" s="12"/>
      <c r="D19" s="13">
        <v>3838</v>
      </c>
      <c r="E19" s="12">
        <v>1</v>
      </c>
      <c r="F19" s="13" cm="1">
        <f t="array" ref="F19">IFERROR(atlaide(E19,B19),"Kluda!")</f>
        <v>0</v>
      </c>
      <c r="G19" s="13"/>
      <c r="H19" s="12">
        <v>3</v>
      </c>
      <c r="I19" s="12"/>
      <c r="J19" s="13" cm="1">
        <f t="array" ref="J19">palidzibas_d(H19,I19)</f>
        <v>0</v>
      </c>
      <c r="K19" s="13">
        <f>IFERROR(('Invoice Data'!$B19+'Invoice Data'!$D19-'Invoice Data'!$F19-'Invoice Data'!$J19+'Invoice Data'!$G19),"Kluda!")</f>
        <v>3838</v>
      </c>
      <c r="L19" s="13">
        <v>3838</v>
      </c>
      <c r="M19" s="14" cm="1">
        <f t="array" ref="M19">IFERROR(jauna_bil(D19,F19,J19,B19,L19),"Kluda!")</f>
        <v>7676</v>
      </c>
    </row>
    <row r="20" spans="1:13" x14ac:dyDescent="0.25">
      <c r="A20" s="12">
        <v>30240</v>
      </c>
      <c r="B20" s="13">
        <v>0</v>
      </c>
      <c r="C20" s="12"/>
      <c r="D20" s="13">
        <v>4160</v>
      </c>
      <c r="E20" s="12">
        <v>1</v>
      </c>
      <c r="F20" s="13" cm="1">
        <f t="array" ref="F20">IFERROR(atlaide(E20,B20),"Kluda!")</f>
        <v>0</v>
      </c>
      <c r="G20" s="13"/>
      <c r="H20" s="12">
        <v>2</v>
      </c>
      <c r="I20" s="12"/>
      <c r="J20" s="13" cm="1">
        <f t="array" ref="J20">palidzibas_d(H20,I20)</f>
        <v>0</v>
      </c>
      <c r="K20" s="13">
        <f>IFERROR(('Invoice Data'!$B20+'Invoice Data'!$D20-'Invoice Data'!$F20-'Invoice Data'!$J20+'Invoice Data'!$G20),"Kluda!")</f>
        <v>4160</v>
      </c>
      <c r="L20" s="13">
        <v>0</v>
      </c>
      <c r="M20" s="14" cm="1">
        <f t="array" ref="M20">IFERROR(jauna_bil(D20,F20,J20,B20,L20),"Kluda!")</f>
        <v>4160</v>
      </c>
    </row>
    <row r="21" spans="1:13" x14ac:dyDescent="0.25">
      <c r="A21" s="12">
        <v>30259</v>
      </c>
      <c r="B21" s="13">
        <v>0</v>
      </c>
      <c r="C21" s="12"/>
      <c r="D21" s="13">
        <v>7875</v>
      </c>
      <c r="E21" s="12">
        <v>2</v>
      </c>
      <c r="F21" s="13" cm="1">
        <f t="array" ref="F21">IFERROR(atlaide(E21,B21),"Kluda!")</f>
        <v>0</v>
      </c>
      <c r="G21" s="13"/>
      <c r="H21" s="12">
        <v>1</v>
      </c>
      <c r="I21" s="12"/>
      <c r="J21" s="13" cm="1">
        <f t="array" ref="J21">palidzibas_d(H21,I21)</f>
        <v>0</v>
      </c>
      <c r="K21" s="13">
        <f>IFERROR(('Invoice Data'!$B21+'Invoice Data'!$D21-'Invoice Data'!$F21-'Invoice Data'!$J21+'Invoice Data'!$G21),"Kluda!")</f>
        <v>7875</v>
      </c>
      <c r="L21" s="13">
        <v>0</v>
      </c>
      <c r="M21" s="14" cm="1">
        <f t="array" ref="M21">IFERROR(jauna_bil(D21,F21,J21,B21,L21),"Kluda!")</f>
        <v>7875</v>
      </c>
    </row>
    <row r="22" spans="1:13" x14ac:dyDescent="0.25">
      <c r="A22" s="12">
        <v>30268</v>
      </c>
      <c r="B22" s="13">
        <v>2279</v>
      </c>
      <c r="C22" s="12"/>
      <c r="D22" s="13">
        <v>8867</v>
      </c>
      <c r="E22" s="12">
        <v>2</v>
      </c>
      <c r="F22" s="13" cm="1">
        <f t="array" ref="F22">IFERROR(atlaide(E22,B22),"Kluda!")</f>
        <v>136.74</v>
      </c>
      <c r="G22" s="13"/>
      <c r="H22" s="12">
        <v>16</v>
      </c>
      <c r="I22" s="12"/>
      <c r="J22" s="13" cm="1">
        <f t="array" ref="J22">palidzibas_d(H22,I22)</f>
        <v>0</v>
      </c>
      <c r="K22" s="13">
        <f>IFERROR(('Invoice Data'!$B22+'Invoice Data'!$D22-'Invoice Data'!$F22-'Invoice Data'!$J22+'Invoice Data'!$G22),"Kluda!")</f>
        <v>11009.26</v>
      </c>
      <c r="L22" s="13">
        <v>0</v>
      </c>
      <c r="M22" s="14" cm="1">
        <f t="array" ref="M22">IFERROR(jauna_bil(D22,F22,J22,B22,L22),"Kluda!")</f>
        <v>6451.26</v>
      </c>
    </row>
    <row r="23" spans="1:13" x14ac:dyDescent="0.25">
      <c r="A23" s="12">
        <v>30277</v>
      </c>
      <c r="B23" s="13">
        <v>0</v>
      </c>
      <c r="C23" s="12"/>
      <c r="D23" s="13">
        <v>9970</v>
      </c>
      <c r="E23" s="12">
        <v>2</v>
      </c>
      <c r="F23" s="13" cm="1">
        <f t="array" ref="F23">IFERROR(atlaide(E23,B23),"Kluda!")</f>
        <v>0</v>
      </c>
      <c r="G23" s="13"/>
      <c r="H23" s="12">
        <v>0</v>
      </c>
      <c r="I23" s="12"/>
      <c r="J23" s="13" cm="1">
        <f t="array" ref="J23">palidzibas_d(H23,I23)</f>
        <v>0</v>
      </c>
      <c r="K23" s="13">
        <f>IFERROR(('Invoice Data'!$B23+'Invoice Data'!$D23-'Invoice Data'!$F23-'Invoice Data'!$J23+'Invoice Data'!$G23),"Kluda!")</f>
        <v>9970</v>
      </c>
      <c r="L23" s="13">
        <v>0</v>
      </c>
      <c r="M23" s="14" cm="1">
        <f t="array" ref="M23">IFERROR(jauna_bil(D23,F23,J23,B23,L23),"Kluda!")</f>
        <v>9970</v>
      </c>
    </row>
    <row r="24" spans="1:13" x14ac:dyDescent="0.25">
      <c r="A24" s="12">
        <v>30295</v>
      </c>
      <c r="B24" s="13">
        <v>0</v>
      </c>
      <c r="C24" s="12"/>
      <c r="D24" s="13">
        <v>9383</v>
      </c>
      <c r="E24" s="12">
        <v>2</v>
      </c>
      <c r="F24" s="13" cm="1">
        <f t="array" ref="F24">IFERROR(atlaide(E24,B24),"Kluda!")</f>
        <v>0</v>
      </c>
      <c r="G24" s="13"/>
      <c r="H24" s="12">
        <v>16</v>
      </c>
      <c r="I24" s="12"/>
      <c r="J24" s="13" cm="1">
        <f t="array" ref="J24">palidzibas_d(H24,I24)</f>
        <v>0</v>
      </c>
      <c r="K24" s="13">
        <f>IFERROR(('Invoice Data'!$B24+'Invoice Data'!$D24-'Invoice Data'!$F24-'Invoice Data'!$J24+'Invoice Data'!$G24),"Kluda!")</f>
        <v>9383</v>
      </c>
      <c r="L24" s="13">
        <v>0</v>
      </c>
      <c r="M24" s="14" cm="1">
        <f t="array" ref="M24">IFERROR(jauna_bil(D24,F24,J24,B24,L24),"Kluda!")</f>
        <v>9383</v>
      </c>
    </row>
    <row r="25" spans="1:13" x14ac:dyDescent="0.25">
      <c r="A25" s="12">
        <v>30357</v>
      </c>
      <c r="B25" s="13">
        <v>-200</v>
      </c>
      <c r="C25" s="12"/>
      <c r="D25" s="13">
        <v>5449</v>
      </c>
      <c r="E25" s="12">
        <v>1</v>
      </c>
      <c r="F25" s="13" cm="1">
        <f t="array" ref="F25">IFERROR(atlaide(E25,B25),"Kluda!")</f>
        <v>-6</v>
      </c>
      <c r="G25" s="13"/>
      <c r="H25" s="12">
        <v>16</v>
      </c>
      <c r="I25" s="12"/>
      <c r="J25" s="13" cm="1">
        <f t="array" ref="J25">palidzibas_d(H25,I25)</f>
        <v>0</v>
      </c>
      <c r="K25" s="13">
        <f>IFERROR(('Invoice Data'!$B25+'Invoice Data'!$D25-'Invoice Data'!$F25-'Invoice Data'!$J25+'Invoice Data'!$G25),"Kluda!")</f>
        <v>5255</v>
      </c>
      <c r="L25" s="13">
        <v>0</v>
      </c>
      <c r="M25" s="14" cm="1">
        <f t="array" ref="M25">IFERROR(jauna_bil(D25,F25,J25,B25,L25),"Kluda!")</f>
        <v>5655</v>
      </c>
    </row>
    <row r="26" spans="1:13" x14ac:dyDescent="0.25">
      <c r="A26" s="12">
        <v>30366</v>
      </c>
      <c r="B26" s="13">
        <v>0</v>
      </c>
      <c r="C26" s="12"/>
      <c r="D26" s="13">
        <v>6429</v>
      </c>
      <c r="E26" s="12">
        <v>2</v>
      </c>
      <c r="F26" s="13" cm="1">
        <f t="array" ref="F26">IFERROR(atlaide(E26,B26),"Kluda!")</f>
        <v>0</v>
      </c>
      <c r="G26" s="13"/>
      <c r="H26" s="12">
        <v>10</v>
      </c>
      <c r="I26" s="12"/>
      <c r="J26" s="13" cm="1">
        <f t="array" ref="J26">palidzibas_d(H26,I26)</f>
        <v>0</v>
      </c>
      <c r="K26" s="13">
        <f>IFERROR(('Invoice Data'!$B26+'Invoice Data'!$D26-'Invoice Data'!$F26-'Invoice Data'!$J26+'Invoice Data'!$G26),"Kluda!")</f>
        <v>6429</v>
      </c>
      <c r="L26" s="13">
        <v>0</v>
      </c>
      <c r="M26" s="14" cm="1">
        <f t="array" ref="M26">IFERROR(jauna_bil(D26,F26,J26,B26,L26),"Kluda!")</f>
        <v>6429</v>
      </c>
    </row>
    <row r="27" spans="1:13" x14ac:dyDescent="0.25">
      <c r="A27" s="12">
        <v>30400</v>
      </c>
      <c r="B27" s="13">
        <v>0</v>
      </c>
      <c r="C27" s="12"/>
      <c r="D27" s="13">
        <v>9103</v>
      </c>
      <c r="E27" s="12">
        <v>2</v>
      </c>
      <c r="F27" s="13" cm="1">
        <f t="array" ref="F27">IFERROR(atlaide(E27,B27),"Kluda!")</f>
        <v>0</v>
      </c>
      <c r="G27" s="13"/>
      <c r="H27" s="12">
        <v>13</v>
      </c>
      <c r="I27" s="12"/>
      <c r="J27" s="13" cm="1">
        <f t="array" ref="J27">palidzibas_d(H27,I27)</f>
        <v>0</v>
      </c>
      <c r="K27" s="13">
        <f>IFERROR(('Invoice Data'!$B27+'Invoice Data'!$D27-'Invoice Data'!$F27-'Invoice Data'!$J27+'Invoice Data'!$G27),"Kluda!")</f>
        <v>9103</v>
      </c>
      <c r="L27" s="13">
        <v>0</v>
      </c>
      <c r="M27" s="14" cm="1">
        <f t="array" ref="M27">IFERROR(jauna_bil(D27,F27,J27,B27,L27),"Kluda!")</f>
        <v>9103</v>
      </c>
    </row>
    <row r="28" spans="1:13" x14ac:dyDescent="0.25">
      <c r="A28" s="12">
        <v>30428</v>
      </c>
      <c r="B28" s="13">
        <v>0</v>
      </c>
      <c r="C28" s="12"/>
      <c r="D28" s="13">
        <v>3812</v>
      </c>
      <c r="E28" s="12" t="s">
        <v>15</v>
      </c>
      <c r="F28" s="13" t="str" cm="1">
        <f t="array" ref="F28">IFERROR(atlaide(E28,B28),"Kluda!")</f>
        <v>Kluda!</v>
      </c>
      <c r="G28" s="13"/>
      <c r="H28" s="12">
        <v>6</v>
      </c>
      <c r="I28" s="12"/>
      <c r="J28" s="13" cm="1">
        <f t="array" ref="J28">palidzibas_d(H28,I28)</f>
        <v>0</v>
      </c>
      <c r="K28" s="13" t="str">
        <f>IFERROR(('Invoice Data'!$B28+'Invoice Data'!$D28-'Invoice Data'!$F28-'Invoice Data'!$J28+'Invoice Data'!$G28),"Kluda!")</f>
        <v>Kluda!</v>
      </c>
      <c r="L28" s="13">
        <v>0</v>
      </c>
      <c r="M28" s="14" t="str" cm="1">
        <f t="array" ref="M28">IFERROR(jauna_bil(D28,F28,J28,B28,L28),"Kluda!")</f>
        <v>Kluda!</v>
      </c>
    </row>
    <row r="29" spans="1:13" x14ac:dyDescent="0.25">
      <c r="A29" s="12">
        <v>30437</v>
      </c>
      <c r="B29" s="13">
        <v>0</v>
      </c>
      <c r="C29" s="12"/>
      <c r="D29" s="13">
        <v>4749</v>
      </c>
      <c r="E29" s="12">
        <v>1</v>
      </c>
      <c r="F29" s="13" cm="1">
        <f t="array" ref="F29">IFERROR(atlaide(E29,B29),"Kluda!")</f>
        <v>0</v>
      </c>
      <c r="G29" s="13"/>
      <c r="H29" s="12">
        <v>2</v>
      </c>
      <c r="I29" s="12"/>
      <c r="J29" s="13" cm="1">
        <f t="array" ref="J29">palidzibas_d(H29,I29)</f>
        <v>0</v>
      </c>
      <c r="K29" s="13">
        <f>IFERROR(('Invoice Data'!$B29+'Invoice Data'!$D29-'Invoice Data'!$F29-'Invoice Data'!$J29+'Invoice Data'!$G29),"Kluda!")</f>
        <v>4749</v>
      </c>
      <c r="L29" s="13">
        <v>0</v>
      </c>
      <c r="M29" s="14" cm="1">
        <f t="array" ref="M29">IFERROR(jauna_bil(D29,F29,J29,B29,L29),"Kluda!")</f>
        <v>4749</v>
      </c>
    </row>
    <row r="30" spans="1:13" x14ac:dyDescent="0.25">
      <c r="A30" s="12">
        <v>30446</v>
      </c>
      <c r="B30" s="13">
        <v>0</v>
      </c>
      <c r="C30" s="12"/>
      <c r="D30" s="13">
        <v>7866</v>
      </c>
      <c r="E30" s="12">
        <v>2</v>
      </c>
      <c r="F30" s="13" cm="1">
        <f t="array" ref="F30">IFERROR(atlaide(E30,B30),"Kluda!")</f>
        <v>0</v>
      </c>
      <c r="G30" s="13"/>
      <c r="H30" s="12">
        <v>18</v>
      </c>
      <c r="I30" s="12"/>
      <c r="J30" s="13" cm="1">
        <f t="array" ref="J30">palidzibas_d(H30,I30)</f>
        <v>0</v>
      </c>
      <c r="K30" s="13">
        <f>IFERROR(('Invoice Data'!$B30+'Invoice Data'!$D30-'Invoice Data'!$F30-'Invoice Data'!$J30+'Invoice Data'!$G30),"Kluda!")</f>
        <v>7866</v>
      </c>
      <c r="L30" s="13">
        <v>0</v>
      </c>
      <c r="M30" s="14" cm="1">
        <f t="array" ref="M30">IFERROR(jauna_bil(D30,F30,J30,B30,L30),"Kluda!")</f>
        <v>7866</v>
      </c>
    </row>
    <row r="31" spans="1:13" x14ac:dyDescent="0.25">
      <c r="A31" s="12">
        <v>30455</v>
      </c>
      <c r="B31" s="13">
        <v>0</v>
      </c>
      <c r="C31" s="12"/>
      <c r="D31" s="13">
        <v>3545</v>
      </c>
      <c r="E31" s="12">
        <v>1</v>
      </c>
      <c r="F31" s="13" cm="1">
        <f t="array" ref="F31">IFERROR(atlaide(E31,B31),"Kluda!")</f>
        <v>0</v>
      </c>
      <c r="G31" s="13"/>
      <c r="H31" s="12">
        <v>1</v>
      </c>
      <c r="I31" s="12"/>
      <c r="J31" s="13" cm="1">
        <f t="array" ref="J31">palidzibas_d(H31,I31)</f>
        <v>0</v>
      </c>
      <c r="K31" s="13">
        <f>IFERROR(('Invoice Data'!$B31+'Invoice Data'!$D31-'Invoice Data'!$F31-'Invoice Data'!$J31+'Invoice Data'!$G31),"Kluda!")</f>
        <v>3545</v>
      </c>
      <c r="L31" s="13">
        <v>0</v>
      </c>
      <c r="M31" s="14" cm="1">
        <f t="array" ref="M31">IFERROR(jauna_bil(D31,F31,J31,B31,L31),"Kluda!")</f>
        <v>3545</v>
      </c>
    </row>
    <row r="32" spans="1:13" x14ac:dyDescent="0.25">
      <c r="A32" s="12">
        <v>30464</v>
      </c>
      <c r="B32" s="13">
        <v>0</v>
      </c>
      <c r="C32" s="12"/>
      <c r="D32" s="13">
        <v>4597</v>
      </c>
      <c r="E32" s="12">
        <v>1</v>
      </c>
      <c r="F32" s="13" cm="1">
        <f t="array" ref="F32">IFERROR(atlaide(E32,B32),"Kluda!")</f>
        <v>0</v>
      </c>
      <c r="G32" s="13"/>
      <c r="H32" s="12">
        <v>2</v>
      </c>
      <c r="I32" s="12"/>
      <c r="J32" s="13" cm="1">
        <f t="array" ref="J32">palidzibas_d(H32,I32)</f>
        <v>0</v>
      </c>
      <c r="K32" s="13">
        <f>IFERROR(('Invoice Data'!$B32+'Invoice Data'!$D32-'Invoice Data'!$F32-'Invoice Data'!$J32+'Invoice Data'!$G32),"Kluda!")</f>
        <v>4597</v>
      </c>
      <c r="L32" s="13">
        <v>0</v>
      </c>
      <c r="M32" s="14" cm="1">
        <f t="array" ref="M32">IFERROR(jauna_bil(D32,F32,J32,B32,L32),"Kluda!")</f>
        <v>4597</v>
      </c>
    </row>
    <row r="33" spans="1:13" x14ac:dyDescent="0.25">
      <c r="A33" s="12">
        <v>30473</v>
      </c>
      <c r="B33" s="13">
        <v>0</v>
      </c>
      <c r="C33" s="12"/>
      <c r="D33" s="13">
        <v>4239</v>
      </c>
      <c r="E33" s="12">
        <v>1</v>
      </c>
      <c r="F33" s="13" cm="1">
        <f t="array" ref="F33">IFERROR(atlaide(E33,B33),"Kluda!")</f>
        <v>0</v>
      </c>
      <c r="G33" s="13"/>
      <c r="H33" s="12">
        <v>0</v>
      </c>
      <c r="I33" s="12" t="b">
        <v>1</v>
      </c>
      <c r="J33" s="13" cm="1">
        <f t="array" ref="J33">palidzibas_d(H33,I33)</f>
        <v>0</v>
      </c>
      <c r="K33" s="13">
        <f>IFERROR(('Invoice Data'!$B33+'Invoice Data'!$D33-'Invoice Data'!$F33-'Invoice Data'!$J33+'Invoice Data'!$G33),"Kluda!")</f>
        <v>4239</v>
      </c>
      <c r="L33" s="13">
        <v>0</v>
      </c>
      <c r="M33" s="14" cm="1">
        <f t="array" ref="M33">IFERROR(jauna_bil(D33,F33,J33,B33,L33),"Kluda!")</f>
        <v>4239</v>
      </c>
    </row>
    <row r="34" spans="1:13" x14ac:dyDescent="0.25">
      <c r="A34" s="12">
        <v>30482</v>
      </c>
      <c r="B34" s="13">
        <v>0</v>
      </c>
      <c r="C34" s="12"/>
      <c r="D34" s="13">
        <v>3736</v>
      </c>
      <c r="E34" s="12">
        <v>1</v>
      </c>
      <c r="F34" s="13" cm="1">
        <f t="array" ref="F34">IFERROR(atlaide(E34,B34),"Kluda!")</f>
        <v>0</v>
      </c>
      <c r="G34" s="13"/>
      <c r="H34" s="12">
        <v>0</v>
      </c>
      <c r="I34" s="12"/>
      <c r="J34" s="13" cm="1">
        <f t="array" ref="J34">palidzibas_d(H34,I34)</f>
        <v>0</v>
      </c>
      <c r="K34" s="13">
        <f>IFERROR(('Invoice Data'!$B34+'Invoice Data'!$D34-'Invoice Data'!$F34-'Invoice Data'!$J34+'Invoice Data'!$G34),"Kluda!")</f>
        <v>3736</v>
      </c>
      <c r="L34" s="13">
        <v>0</v>
      </c>
      <c r="M34" s="14" cm="1">
        <f t="array" ref="M34">IFERROR(jauna_bil(D34,F34,J34,B34,L34),"Kluda!")</f>
        <v>3736</v>
      </c>
    </row>
    <row r="35" spans="1:13" x14ac:dyDescent="0.25">
      <c r="A35" s="12">
        <v>30491</v>
      </c>
      <c r="B35" s="13">
        <v>0</v>
      </c>
      <c r="C35" s="12"/>
      <c r="D35" s="13">
        <v>5111</v>
      </c>
      <c r="E35" s="12">
        <v>1</v>
      </c>
      <c r="F35" s="13" cm="1">
        <f t="array" ref="F35">IFERROR(atlaide(E35,B35),"Kluda!")</f>
        <v>0</v>
      </c>
      <c r="G35" s="13"/>
      <c r="H35" s="12">
        <v>6</v>
      </c>
      <c r="I35" s="12"/>
      <c r="J35" s="13" cm="1">
        <f t="array" ref="J35">palidzibas_d(H35,I35)</f>
        <v>0</v>
      </c>
      <c r="K35" s="13">
        <f>IFERROR(('Invoice Data'!$B35+'Invoice Data'!$D35-'Invoice Data'!$F35-'Invoice Data'!$J35+'Invoice Data'!$G35),"Kluda!")</f>
        <v>5111</v>
      </c>
      <c r="L35" s="13">
        <v>0</v>
      </c>
      <c r="M35" s="14" cm="1">
        <f t="array" ref="M35">IFERROR(jauna_bil(D35,F35,J35,B35,L35),"Kluda!")</f>
        <v>5111</v>
      </c>
    </row>
    <row r="36" spans="1:13" x14ac:dyDescent="0.25">
      <c r="A36" s="12">
        <v>30623</v>
      </c>
      <c r="B36" s="13">
        <v>0</v>
      </c>
      <c r="C36" s="12"/>
      <c r="D36" s="13">
        <v>8470</v>
      </c>
      <c r="E36" s="12">
        <v>2</v>
      </c>
      <c r="F36" s="13" cm="1">
        <f t="array" ref="F36">IFERROR(atlaide(E36,B36),"Kluda!")</f>
        <v>0</v>
      </c>
      <c r="G36" s="13"/>
      <c r="H36" s="12">
        <v>13</v>
      </c>
      <c r="I36" s="12"/>
      <c r="J36" s="13" cm="1">
        <f t="array" ref="J36">palidzibas_d(H36,I36)</f>
        <v>0</v>
      </c>
      <c r="K36" s="13">
        <f>IFERROR(('Invoice Data'!$B36+'Invoice Data'!$D36-'Invoice Data'!$F36-'Invoice Data'!$J36+'Invoice Data'!$G36),"Kluda!")</f>
        <v>8470</v>
      </c>
      <c r="L36" s="13">
        <v>0</v>
      </c>
      <c r="M36" s="14" cm="1">
        <f t="array" ref="M36">IFERROR(jauna_bil(D36,F36,J36,B36,L36),"Kluda!")</f>
        <v>8470</v>
      </c>
    </row>
    <row r="37" spans="1:13" x14ac:dyDescent="0.25">
      <c r="A37" s="12">
        <v>30632</v>
      </c>
      <c r="B37" s="13">
        <v>0</v>
      </c>
      <c r="C37" s="12"/>
      <c r="D37" s="13">
        <v>4365</v>
      </c>
      <c r="E37" s="12">
        <v>1</v>
      </c>
      <c r="F37" s="13" cm="1">
        <f t="array" ref="F37">IFERROR(atlaide(E37,B37),"Kluda!")</f>
        <v>0</v>
      </c>
      <c r="G37" s="13"/>
      <c r="H37" s="12">
        <v>0</v>
      </c>
      <c r="I37" s="12"/>
      <c r="J37" s="13" cm="1">
        <f t="array" ref="J37">palidzibas_d(H37,I37)</f>
        <v>0</v>
      </c>
      <c r="K37" s="13">
        <f>IFERROR(('Invoice Data'!$B37+'Invoice Data'!$D37-'Invoice Data'!$F37-'Invoice Data'!$J37+'Invoice Data'!$G37),"Kluda!")</f>
        <v>4365</v>
      </c>
      <c r="L37" s="13">
        <v>0</v>
      </c>
      <c r="M37" s="14" cm="1">
        <f t="array" ref="M37">IFERROR(jauna_bil(D37,F37,J37,B37,L37),"Kluda!")</f>
        <v>4365</v>
      </c>
    </row>
    <row r="38" spans="1:13" x14ac:dyDescent="0.25">
      <c r="A38" s="12">
        <v>30650</v>
      </c>
      <c r="B38" s="13">
        <v>0</v>
      </c>
      <c r="C38" s="12"/>
      <c r="D38" s="13">
        <v>9405</v>
      </c>
      <c r="E38" s="12">
        <v>2</v>
      </c>
      <c r="F38" s="13" cm="1">
        <f t="array" ref="F38">IFERROR(atlaide(E38,B38),"Kluda!")</f>
        <v>0</v>
      </c>
      <c r="G38" s="13"/>
      <c r="H38" s="12">
        <v>3</v>
      </c>
      <c r="I38" s="12"/>
      <c r="J38" s="13" cm="1">
        <f t="array" ref="J38">palidzibas_d(H38,I38)</f>
        <v>0</v>
      </c>
      <c r="K38" s="13">
        <f>IFERROR(('Invoice Data'!$B38+'Invoice Data'!$D38-'Invoice Data'!$F38-'Invoice Data'!$J38+'Invoice Data'!$G38),"Kluda!")</f>
        <v>9405</v>
      </c>
      <c r="L38" s="13">
        <v>0</v>
      </c>
      <c r="M38" s="14" cm="1">
        <f t="array" ref="M38">IFERROR(jauna_bil(D38,F38,J38,B38,L38),"Kluda!")</f>
        <v>9405</v>
      </c>
    </row>
    <row r="39" spans="1:13" x14ac:dyDescent="0.25">
      <c r="A39" s="12">
        <v>30678</v>
      </c>
      <c r="B39" s="13">
        <v>0</v>
      </c>
      <c r="C39" s="12"/>
      <c r="D39" s="13">
        <v>3549</v>
      </c>
      <c r="E39" s="12">
        <v>1</v>
      </c>
      <c r="F39" s="13" cm="1">
        <f t="array" ref="F39">IFERROR(atlaide(E39,B39),"Kluda!")</f>
        <v>0</v>
      </c>
      <c r="G39" s="13"/>
      <c r="H39" s="12">
        <v>15</v>
      </c>
      <c r="I39" s="12"/>
      <c r="J39" s="13" cm="1">
        <f t="array" ref="J39">palidzibas_d(H39,I39)</f>
        <v>0</v>
      </c>
      <c r="K39" s="13">
        <f>IFERROR(('Invoice Data'!$B39+'Invoice Data'!$D39-'Invoice Data'!$F39-'Invoice Data'!$J39+'Invoice Data'!$G39),"Kluda!")</f>
        <v>3549</v>
      </c>
      <c r="L39" s="13">
        <v>0</v>
      </c>
      <c r="M39" s="14" cm="1">
        <f t="array" ref="M39">IFERROR(jauna_bil(D39,F39,J39,B39,L39),"Kluda!")</f>
        <v>3549</v>
      </c>
    </row>
    <row r="40" spans="1:13" x14ac:dyDescent="0.25">
      <c r="A40" s="12">
        <v>30696</v>
      </c>
      <c r="B40" s="13">
        <v>0</v>
      </c>
      <c r="C40" s="12"/>
      <c r="D40" s="13">
        <v>5218</v>
      </c>
      <c r="E40" s="12">
        <v>1</v>
      </c>
      <c r="F40" s="13" cm="1">
        <f t="array" ref="F40">IFERROR(atlaide(E40,B40),"Kluda!")</f>
        <v>0</v>
      </c>
      <c r="G40" s="13"/>
      <c r="H40" s="12">
        <v>12</v>
      </c>
      <c r="I40" s="12"/>
      <c r="J40" s="13" cm="1">
        <f t="array" ref="J40">palidzibas_d(H40,I40)</f>
        <v>0</v>
      </c>
      <c r="K40" s="13">
        <f>IFERROR(('Invoice Data'!$B40+'Invoice Data'!$D40-'Invoice Data'!$F40-'Invoice Data'!$J40+'Invoice Data'!$G40),"Kluda!")</f>
        <v>5218</v>
      </c>
      <c r="L40" s="13">
        <v>0</v>
      </c>
      <c r="M40" s="14" cm="1">
        <f t="array" ref="M40">IFERROR(jauna_bil(D40,F40,J40,B40,L40),"Kluda!")</f>
        <v>5218</v>
      </c>
    </row>
    <row r="41" spans="1:13" x14ac:dyDescent="0.25">
      <c r="A41" s="12">
        <v>30721</v>
      </c>
      <c r="B41" s="13">
        <v>0</v>
      </c>
      <c r="C41" s="12"/>
      <c r="D41" s="13">
        <v>9778</v>
      </c>
      <c r="E41" s="12">
        <v>2</v>
      </c>
      <c r="F41" s="13" cm="1">
        <f t="array" ref="F41">IFERROR(atlaide(E41,B41),"Kluda!")</f>
        <v>0</v>
      </c>
      <c r="G41" s="13"/>
      <c r="H41" s="12">
        <v>1</v>
      </c>
      <c r="I41" s="12"/>
      <c r="J41" s="13" cm="1">
        <f t="array" ref="J41">palidzibas_d(H41,I41)</f>
        <v>0</v>
      </c>
      <c r="K41" s="13">
        <f>IFERROR(('Invoice Data'!$B41+'Invoice Data'!$D41-'Invoice Data'!$F41-'Invoice Data'!$J41+'Invoice Data'!$G41),"Kluda!")</f>
        <v>9778</v>
      </c>
      <c r="L41" s="13">
        <v>0</v>
      </c>
      <c r="M41" s="14" cm="1">
        <f t="array" ref="M41">IFERROR(jauna_bil(D41,F41,J41,B41,L41),"Kluda!")</f>
        <v>9778</v>
      </c>
    </row>
    <row r="42" spans="1:13" x14ac:dyDescent="0.25">
      <c r="A42" s="12">
        <v>30730</v>
      </c>
      <c r="B42" s="13">
        <v>0</v>
      </c>
      <c r="C42" s="12"/>
      <c r="D42" s="13">
        <v>3347</v>
      </c>
      <c r="E42" s="12">
        <v>1</v>
      </c>
      <c r="F42" s="13" cm="1">
        <f t="array" ref="F42">IFERROR(atlaide(E42,B42),"Kluda!")</f>
        <v>0</v>
      </c>
      <c r="G42" s="13"/>
      <c r="H42" s="12">
        <v>12</v>
      </c>
      <c r="I42" s="12"/>
      <c r="J42" s="13" cm="1">
        <f t="array" ref="J42">palidzibas_d(H42,I42)</f>
        <v>0</v>
      </c>
      <c r="K42" s="13">
        <f>IFERROR(('Invoice Data'!$B42+'Invoice Data'!$D42-'Invoice Data'!$F42-'Invoice Data'!$J42+'Invoice Data'!$G42),"Kluda!")</f>
        <v>3347</v>
      </c>
      <c r="L42" s="13">
        <v>0</v>
      </c>
      <c r="M42" s="14" cm="1">
        <f t="array" ref="M42">IFERROR(jauna_bil(D42,F42,J42,B42,L42),"Kluda!")</f>
        <v>3347</v>
      </c>
    </row>
    <row r="43" spans="1:13" x14ac:dyDescent="0.25">
      <c r="A43" s="12">
        <v>30749</v>
      </c>
      <c r="B43" s="13">
        <v>0</v>
      </c>
      <c r="C43" s="12"/>
      <c r="D43" s="13">
        <v>8605</v>
      </c>
      <c r="E43" s="12">
        <v>2</v>
      </c>
      <c r="F43" s="13" cm="1">
        <f t="array" ref="F43">IFERROR(atlaide(E43,B43),"Kluda!")</f>
        <v>0</v>
      </c>
      <c r="G43" s="13"/>
      <c r="H43" s="12">
        <v>4</v>
      </c>
      <c r="I43" s="12"/>
      <c r="J43" s="13" cm="1">
        <f t="array" ref="J43">palidzibas_d(H43,I43)</f>
        <v>0</v>
      </c>
      <c r="K43" s="13">
        <f>IFERROR(('Invoice Data'!$B43+'Invoice Data'!$D43-'Invoice Data'!$F43-'Invoice Data'!$J43+'Invoice Data'!$G43),"Kluda!")</f>
        <v>8605</v>
      </c>
      <c r="L43" s="13">
        <v>0</v>
      </c>
      <c r="M43" s="14" cm="1">
        <f t="array" ref="M43">IFERROR(jauna_bil(D43,F43,J43,B43,L43),"Kluda!")</f>
        <v>8605</v>
      </c>
    </row>
    <row r="44" spans="1:13" x14ac:dyDescent="0.25">
      <c r="A44" s="12">
        <v>30758</v>
      </c>
      <c r="B44" s="13">
        <v>0</v>
      </c>
      <c r="C44" s="12"/>
      <c r="D44" s="13">
        <v>4856</v>
      </c>
      <c r="E44" s="12">
        <v>1</v>
      </c>
      <c r="F44" s="13" cm="1">
        <f t="array" ref="F44">IFERROR(atlaide(E44,B44),"Kluda!")</f>
        <v>0</v>
      </c>
      <c r="G44" s="13"/>
      <c r="H44" s="12">
        <v>16</v>
      </c>
      <c r="I44" s="12"/>
      <c r="J44" s="13" cm="1">
        <f t="array" ref="J44">palidzibas_d(H44,I44)</f>
        <v>0</v>
      </c>
      <c r="K44" s="13">
        <f>IFERROR(('Invoice Data'!$B44+'Invoice Data'!$D44-'Invoice Data'!$F44-'Invoice Data'!$J44+'Invoice Data'!$G44),"Kluda!")</f>
        <v>4856</v>
      </c>
      <c r="L44" s="13">
        <v>0</v>
      </c>
      <c r="M44" s="14" cm="1">
        <f t="array" ref="M44">IFERROR(jauna_bil(D44,F44,J44,B44,L44),"Kluda!")</f>
        <v>4856</v>
      </c>
    </row>
    <row r="45" spans="1:13" x14ac:dyDescent="0.25">
      <c r="A45" s="12">
        <v>30767</v>
      </c>
      <c r="B45" s="13">
        <v>0</v>
      </c>
      <c r="C45" s="12"/>
      <c r="D45" s="13">
        <v>6675</v>
      </c>
      <c r="E45" s="12" t="s">
        <v>15</v>
      </c>
      <c r="F45" s="13" t="str" cm="1">
        <f t="array" ref="F45">IFERROR(atlaide(E45,B45),"Kluda!")</f>
        <v>Kluda!</v>
      </c>
      <c r="G45" s="13"/>
      <c r="H45" s="12">
        <v>9</v>
      </c>
      <c r="I45" s="12"/>
      <c r="J45" s="13" cm="1">
        <f t="array" ref="J45">palidzibas_d(H45,I45)</f>
        <v>0</v>
      </c>
      <c r="K45" s="13" t="str">
        <f>IFERROR(('Invoice Data'!$B45+'Invoice Data'!$D45-'Invoice Data'!$F45-'Invoice Data'!$J45+'Invoice Data'!$G45),"Kluda!")</f>
        <v>Kluda!</v>
      </c>
      <c r="L45" s="13">
        <v>0</v>
      </c>
      <c r="M45" s="14" t="str" cm="1">
        <f t="array" ref="M45">IFERROR(jauna_bil(D45,F45,J45,B45,L45),"Kluda!")</f>
        <v>Kluda!</v>
      </c>
    </row>
    <row r="46" spans="1:13" x14ac:dyDescent="0.25">
      <c r="A46" s="12">
        <v>30776</v>
      </c>
      <c r="B46" s="13">
        <v>0</v>
      </c>
      <c r="C46" s="12"/>
      <c r="D46" s="13">
        <v>3648</v>
      </c>
      <c r="E46" s="12">
        <v>1</v>
      </c>
      <c r="F46" s="13" cm="1">
        <f t="array" ref="F46">IFERROR(atlaide(E46,B46),"Kluda!")</f>
        <v>0</v>
      </c>
      <c r="G46" s="13"/>
      <c r="H46" s="12">
        <v>10</v>
      </c>
      <c r="I46" s="12"/>
      <c r="J46" s="13" cm="1">
        <f t="array" ref="J46">palidzibas_d(H46,I46)</f>
        <v>0</v>
      </c>
      <c r="K46" s="13">
        <f>IFERROR(('Invoice Data'!$B46+'Invoice Data'!$D46-'Invoice Data'!$F46-'Invoice Data'!$J46+'Invoice Data'!$G46),"Kluda!")</f>
        <v>3648</v>
      </c>
      <c r="L46" s="13">
        <v>0</v>
      </c>
      <c r="M46" s="14" cm="1">
        <f t="array" ref="M46">IFERROR(jauna_bil(D46,F46,J46,B46,L46),"Kluda!")</f>
        <v>3648</v>
      </c>
    </row>
    <row r="47" spans="1:13" x14ac:dyDescent="0.25">
      <c r="A47" s="12">
        <v>30785</v>
      </c>
      <c r="B47" s="13">
        <v>0</v>
      </c>
      <c r="C47" s="12"/>
      <c r="D47" s="13">
        <v>5011</v>
      </c>
      <c r="E47" s="12">
        <v>1</v>
      </c>
      <c r="F47" s="13" cm="1">
        <f t="array" ref="F47">IFERROR(atlaide(E47,B47),"Kluda!")</f>
        <v>0</v>
      </c>
      <c r="G47" s="13"/>
      <c r="H47" s="12">
        <v>7</v>
      </c>
      <c r="I47" s="12"/>
      <c r="J47" s="13" cm="1">
        <f t="array" ref="J47">palidzibas_d(H47,I47)</f>
        <v>0</v>
      </c>
      <c r="K47" s="13">
        <f>IFERROR(('Invoice Data'!$B47+'Invoice Data'!$D47-'Invoice Data'!$F47-'Invoice Data'!$J47+'Invoice Data'!$G47),"Kluda!")</f>
        <v>5011</v>
      </c>
      <c r="L47" s="13">
        <v>0</v>
      </c>
      <c r="M47" s="14" cm="1">
        <f t="array" ref="M47">IFERROR(jauna_bil(D47,F47,J47,B47,L47),"Kluda!")</f>
        <v>5011</v>
      </c>
    </row>
    <row r="48" spans="1:13" x14ac:dyDescent="0.25">
      <c r="A48" s="12">
        <v>30801</v>
      </c>
      <c r="B48" s="13">
        <v>0</v>
      </c>
      <c r="C48" s="12"/>
      <c r="D48" s="13">
        <v>6978</v>
      </c>
      <c r="E48" s="12">
        <v>2</v>
      </c>
      <c r="F48" s="13" cm="1">
        <f t="array" ref="F48">IFERROR(atlaide(E48,B48),"Kluda!")</f>
        <v>0</v>
      </c>
      <c r="G48" s="13"/>
      <c r="H48" s="12">
        <v>7</v>
      </c>
      <c r="I48" s="12"/>
      <c r="J48" s="13" cm="1">
        <f t="array" ref="J48">palidzibas_d(H48,I48)</f>
        <v>0</v>
      </c>
      <c r="K48" s="13">
        <f>IFERROR(('Invoice Data'!$B48+'Invoice Data'!$D48-'Invoice Data'!$F48-'Invoice Data'!$J48+'Invoice Data'!$G48),"Kluda!")</f>
        <v>6978</v>
      </c>
      <c r="L48" s="13">
        <v>0</v>
      </c>
      <c r="M48" s="14" cm="1">
        <f t="array" ref="M48">IFERROR(jauna_bil(D48,F48,J48,B48,L48),"Kluda!")</f>
        <v>6978</v>
      </c>
    </row>
    <row r="49" spans="1:13" x14ac:dyDescent="0.25">
      <c r="A49" s="12">
        <v>30810</v>
      </c>
      <c r="B49" s="13">
        <v>0</v>
      </c>
      <c r="C49" s="12"/>
      <c r="D49" s="13">
        <v>6601</v>
      </c>
      <c r="E49" s="12">
        <v>2</v>
      </c>
      <c r="F49" s="13" cm="1">
        <f t="array" ref="F49">IFERROR(atlaide(E49,B49),"Kluda!")</f>
        <v>0</v>
      </c>
      <c r="G49" s="13"/>
      <c r="H49" s="12">
        <v>8</v>
      </c>
      <c r="I49" s="12"/>
      <c r="J49" s="13" cm="1">
        <f t="array" ref="J49">palidzibas_d(H49,I49)</f>
        <v>0</v>
      </c>
      <c r="K49" s="13">
        <f>IFERROR(('Invoice Data'!$B49+'Invoice Data'!$D49-'Invoice Data'!$F49-'Invoice Data'!$J49+'Invoice Data'!$G49),"Kluda!")</f>
        <v>6601</v>
      </c>
      <c r="L49" s="13">
        <v>0</v>
      </c>
      <c r="M49" s="14" cm="1">
        <f t="array" ref="M49">IFERROR(jauna_bil(D49,F49,J49,B49,L49),"Kluda!")</f>
        <v>6601</v>
      </c>
    </row>
    <row r="50" spans="1:13" x14ac:dyDescent="0.25">
      <c r="A50" s="12">
        <v>30829</v>
      </c>
      <c r="B50" s="13">
        <v>0</v>
      </c>
      <c r="C50" s="12"/>
      <c r="D50" s="13">
        <v>7416</v>
      </c>
      <c r="E50" s="12">
        <v>2</v>
      </c>
      <c r="F50" s="13" cm="1">
        <f t="array" ref="F50">IFERROR(atlaide(E50,B50),"Kluda!")</f>
        <v>0</v>
      </c>
      <c r="G50" s="13"/>
      <c r="H50" s="12">
        <v>7</v>
      </c>
      <c r="I50" s="12"/>
      <c r="J50" s="13" cm="1">
        <f t="array" ref="J50">palidzibas_d(H50,I50)</f>
        <v>0</v>
      </c>
      <c r="K50" s="13">
        <f>IFERROR(('Invoice Data'!$B50+'Invoice Data'!$D50-'Invoice Data'!$F50-'Invoice Data'!$J50+'Invoice Data'!$G50),"Kluda!")</f>
        <v>7416</v>
      </c>
      <c r="L50" s="13">
        <v>0</v>
      </c>
      <c r="M50" s="14" cm="1">
        <f t="array" ref="M50">IFERROR(jauna_bil(D50,F50,J50,B50,L50),"Kluda!")</f>
        <v>7416</v>
      </c>
    </row>
    <row r="51" spans="1:13" x14ac:dyDescent="0.25">
      <c r="A51" s="12">
        <v>30838</v>
      </c>
      <c r="B51" s="13">
        <v>0</v>
      </c>
      <c r="C51" s="12"/>
      <c r="D51" s="13">
        <v>3769</v>
      </c>
      <c r="E51" s="12">
        <v>1</v>
      </c>
      <c r="F51" s="13" cm="1">
        <f t="array" ref="F51">IFERROR(atlaide(E51,B51),"Kluda!")</f>
        <v>0</v>
      </c>
      <c r="G51" s="13"/>
      <c r="H51" s="12">
        <v>6</v>
      </c>
      <c r="I51" s="12"/>
      <c r="J51" s="13" cm="1">
        <f t="array" ref="J51">palidzibas_d(H51,I51)</f>
        <v>0</v>
      </c>
      <c r="K51" s="13">
        <f>IFERROR(('Invoice Data'!$B51+'Invoice Data'!$D51-'Invoice Data'!$F51-'Invoice Data'!$J51+'Invoice Data'!$G51),"Kluda!")</f>
        <v>3769</v>
      </c>
      <c r="L51" s="13">
        <v>0</v>
      </c>
      <c r="M51" s="14" cm="1">
        <f t="array" ref="M51">IFERROR(jauna_bil(D51,F51,J51,B51,L51),"Kluda!")</f>
        <v>3769</v>
      </c>
    </row>
    <row r="52" spans="1:13" x14ac:dyDescent="0.25">
      <c r="A52" s="12">
        <v>30847</v>
      </c>
      <c r="B52" s="13">
        <v>0</v>
      </c>
      <c r="C52" s="12"/>
      <c r="D52" s="13">
        <v>4546</v>
      </c>
      <c r="E52" s="12">
        <v>1</v>
      </c>
      <c r="F52" s="13" cm="1">
        <f t="array" ref="F52">IFERROR(atlaide(E52,B52),"Kluda!")</f>
        <v>0</v>
      </c>
      <c r="G52" s="13"/>
      <c r="H52" s="12">
        <v>10</v>
      </c>
      <c r="I52" s="12"/>
      <c r="J52" s="13" cm="1">
        <f t="array" ref="J52">palidzibas_d(H52,I52)</f>
        <v>0</v>
      </c>
      <c r="K52" s="13">
        <f>IFERROR(('Invoice Data'!$B52+'Invoice Data'!$D52-'Invoice Data'!$F52-'Invoice Data'!$J52+'Invoice Data'!$G52),"Kluda!")</f>
        <v>4546</v>
      </c>
      <c r="L52" s="13">
        <v>0</v>
      </c>
      <c r="M52" s="14" cm="1">
        <f t="array" ref="M52">IFERROR(jauna_bil(D52,F52,J52,B52,L52),"Kluda!")</f>
        <v>4546</v>
      </c>
    </row>
    <row r="53" spans="1:13" x14ac:dyDescent="0.25">
      <c r="A53" s="12">
        <v>30856</v>
      </c>
      <c r="B53" s="13">
        <v>0</v>
      </c>
      <c r="C53" s="12"/>
      <c r="D53" s="13">
        <v>3576</v>
      </c>
      <c r="E53" s="12">
        <v>1</v>
      </c>
      <c r="F53" s="13" cm="1">
        <f t="array" ref="F53">IFERROR(atlaide(E53,B53),"Kluda!")</f>
        <v>0</v>
      </c>
      <c r="G53" s="13"/>
      <c r="H53" s="12">
        <v>6</v>
      </c>
      <c r="I53" s="12"/>
      <c r="J53" s="13" cm="1">
        <f t="array" ref="J53">palidzibas_d(H53,I53)</f>
        <v>0</v>
      </c>
      <c r="K53" s="13">
        <f>IFERROR(('Invoice Data'!$B53+'Invoice Data'!$D53-'Invoice Data'!$F53-'Invoice Data'!$J53+'Invoice Data'!$G53),"Kluda!")</f>
        <v>3576</v>
      </c>
      <c r="L53" s="13">
        <v>0</v>
      </c>
      <c r="M53" s="14" cm="1">
        <f t="array" ref="M53">IFERROR(jauna_bil(D53,F53,J53,B53,L53),"Kluda!")</f>
        <v>3576</v>
      </c>
    </row>
    <row r="54" spans="1:13" x14ac:dyDescent="0.25">
      <c r="A54" s="12">
        <v>30865</v>
      </c>
      <c r="B54" s="13">
        <v>0</v>
      </c>
      <c r="C54" s="12"/>
      <c r="D54" s="13">
        <v>8506</v>
      </c>
      <c r="E54" s="12">
        <v>2</v>
      </c>
      <c r="F54" s="13" cm="1">
        <f t="array" ref="F54">IFERROR(atlaide(E54,B54),"Kluda!")</f>
        <v>0</v>
      </c>
      <c r="G54" s="13"/>
      <c r="H54" s="12">
        <v>0</v>
      </c>
      <c r="I54" s="12"/>
      <c r="J54" s="13" cm="1">
        <f t="array" ref="J54">palidzibas_d(H54,I54)</f>
        <v>0</v>
      </c>
      <c r="K54" s="13">
        <f>IFERROR(('Invoice Data'!$B54+'Invoice Data'!$D54-'Invoice Data'!$F54-'Invoice Data'!$J54+'Invoice Data'!$G54),"Kluda!")</f>
        <v>8506</v>
      </c>
      <c r="L54" s="13">
        <v>0</v>
      </c>
      <c r="M54" s="14" cm="1">
        <f t="array" ref="M54">IFERROR(jauna_bil(D54,F54,J54,B54,L54),"Kluda!")</f>
        <v>8506</v>
      </c>
    </row>
    <row r="55" spans="1:13" x14ac:dyDescent="0.25">
      <c r="A55" s="12">
        <v>30874</v>
      </c>
      <c r="B55" s="13">
        <v>0</v>
      </c>
      <c r="C55" s="12"/>
      <c r="D55" s="13">
        <v>7145</v>
      </c>
      <c r="E55" s="12">
        <v>2</v>
      </c>
      <c r="F55" s="13" cm="1">
        <f t="array" ref="F55">IFERROR(atlaide(E55,B55),"Kluda!")</f>
        <v>0</v>
      </c>
      <c r="G55" s="13"/>
      <c r="H55" s="12">
        <v>9</v>
      </c>
      <c r="I55" s="12"/>
      <c r="J55" s="13" cm="1">
        <f t="array" ref="J55">palidzibas_d(H55,I55)</f>
        <v>0</v>
      </c>
      <c r="K55" s="13">
        <f>IFERROR(('Invoice Data'!$B55+'Invoice Data'!$D55-'Invoice Data'!$F55-'Invoice Data'!$J55+'Invoice Data'!$G55),"Kluda!")</f>
        <v>7145</v>
      </c>
      <c r="L55" s="13">
        <v>0</v>
      </c>
      <c r="M55" s="14" cm="1">
        <f t="array" ref="M55">IFERROR(jauna_bil(D55,F55,J55,B55,L55),"Kluda!")</f>
        <v>7145</v>
      </c>
    </row>
    <row r="56" spans="1:13" x14ac:dyDescent="0.25">
      <c r="A56" s="12">
        <v>30883</v>
      </c>
      <c r="B56" s="13">
        <v>0</v>
      </c>
      <c r="C56" s="12"/>
      <c r="D56" s="13">
        <v>4092</v>
      </c>
      <c r="E56" s="12">
        <v>1</v>
      </c>
      <c r="F56" s="13" cm="1">
        <f t="array" ref="F56">IFERROR(atlaide(E56,B56),"Kluda!")</f>
        <v>0</v>
      </c>
      <c r="G56" s="13"/>
      <c r="H56" s="12">
        <v>3</v>
      </c>
      <c r="I56" s="12"/>
      <c r="J56" s="13" cm="1">
        <f t="array" ref="J56">palidzibas_d(H56,I56)</f>
        <v>0</v>
      </c>
      <c r="K56" s="13">
        <f>IFERROR(('Invoice Data'!$B56+'Invoice Data'!$D56-'Invoice Data'!$F56-'Invoice Data'!$J56+'Invoice Data'!$G56),"Kluda!")</f>
        <v>4092</v>
      </c>
      <c r="L56" s="13">
        <v>0</v>
      </c>
      <c r="M56" s="14" cm="1">
        <f t="array" ref="M56">IFERROR(jauna_bil(D56,F56,J56,B56,L56),"Kluda!")</f>
        <v>4092</v>
      </c>
    </row>
    <row r="57" spans="1:13" x14ac:dyDescent="0.25">
      <c r="A57" s="12">
        <v>30892</v>
      </c>
      <c r="B57" s="13">
        <v>0</v>
      </c>
      <c r="C57" s="12"/>
      <c r="D57" s="13">
        <v>5481</v>
      </c>
      <c r="E57" s="12">
        <v>1</v>
      </c>
      <c r="F57" s="13" cm="1">
        <f t="array" ref="F57">IFERROR(atlaide(E57,B57),"Kluda!")</f>
        <v>0</v>
      </c>
      <c r="G57" s="13"/>
      <c r="H57" s="12">
        <v>13</v>
      </c>
      <c r="I57" s="12"/>
      <c r="J57" s="13" cm="1">
        <f t="array" ref="J57">palidzibas_d(H57,I57)</f>
        <v>0</v>
      </c>
      <c r="K57" s="13">
        <f>IFERROR(('Invoice Data'!$B57+'Invoice Data'!$D57-'Invoice Data'!$F57-'Invoice Data'!$J57+'Invoice Data'!$G57),"Kluda!")</f>
        <v>5481</v>
      </c>
      <c r="L57" s="13">
        <v>0</v>
      </c>
      <c r="M57" s="14" cm="1">
        <f t="array" ref="M57">IFERROR(jauna_bil(D57,F57,J57,B57,L57),"Kluda!")</f>
        <v>5481</v>
      </c>
    </row>
    <row r="58" spans="1:13" x14ac:dyDescent="0.25">
      <c r="A58" s="12">
        <v>30909</v>
      </c>
      <c r="B58" s="13">
        <v>0</v>
      </c>
      <c r="C58" s="12"/>
      <c r="D58" s="13">
        <v>5333</v>
      </c>
      <c r="E58" s="12">
        <v>1</v>
      </c>
      <c r="F58" s="13" cm="1">
        <f t="array" ref="F58">IFERROR(atlaide(E58,B58),"Kluda!")</f>
        <v>0</v>
      </c>
      <c r="G58" s="13"/>
      <c r="H58" s="12">
        <v>4</v>
      </c>
      <c r="I58" s="12"/>
      <c r="J58" s="13" cm="1">
        <f t="array" ref="J58">palidzibas_d(H58,I58)</f>
        <v>0</v>
      </c>
      <c r="K58" s="13">
        <f>IFERROR(('Invoice Data'!$B58+'Invoice Data'!$D58-'Invoice Data'!$F58-'Invoice Data'!$J58+'Invoice Data'!$G58),"Kluda!")</f>
        <v>5333</v>
      </c>
      <c r="L58" s="13">
        <v>0</v>
      </c>
      <c r="M58" s="14" cm="1">
        <f t="array" ref="M58">IFERROR(jauna_bil(D58,F58,J58,B58,L58),"Kluda!")</f>
        <v>5333</v>
      </c>
    </row>
    <row r="59" spans="1:13" x14ac:dyDescent="0.25">
      <c r="A59" s="12">
        <v>30918</v>
      </c>
      <c r="B59" s="13">
        <v>0</v>
      </c>
      <c r="C59" s="12"/>
      <c r="D59" s="13">
        <v>5032</v>
      </c>
      <c r="E59" s="12">
        <v>1</v>
      </c>
      <c r="F59" s="13" cm="1">
        <f t="array" ref="F59">IFERROR(atlaide(E59,B59),"Kluda!")</f>
        <v>0</v>
      </c>
      <c r="G59" s="13"/>
      <c r="H59" s="12">
        <v>12</v>
      </c>
      <c r="I59" s="12"/>
      <c r="J59" s="13" cm="1">
        <f t="array" ref="J59">palidzibas_d(H59,I59)</f>
        <v>0</v>
      </c>
      <c r="K59" s="13">
        <f>IFERROR(('Invoice Data'!$B59+'Invoice Data'!$D59-'Invoice Data'!$F59-'Invoice Data'!$J59+'Invoice Data'!$G59),"Kluda!")</f>
        <v>5032</v>
      </c>
      <c r="L59" s="13">
        <v>0</v>
      </c>
      <c r="M59" s="14" cm="1">
        <f t="array" ref="M59">IFERROR(jauna_bil(D59,F59,J59,B59,L59),"Kluda!")</f>
        <v>5032</v>
      </c>
    </row>
    <row r="60" spans="1:13" x14ac:dyDescent="0.25">
      <c r="A60" s="12">
        <v>30927</v>
      </c>
      <c r="B60" s="13">
        <v>0</v>
      </c>
      <c r="C60" s="12"/>
      <c r="D60" s="13">
        <v>14513</v>
      </c>
      <c r="E60" s="12">
        <v>3</v>
      </c>
      <c r="F60" s="13" cm="1">
        <f t="array" ref="F60">IFERROR(atlaide(E60,B60),"Kluda!")</f>
        <v>0</v>
      </c>
      <c r="G60" s="13"/>
      <c r="H60" s="12">
        <v>16</v>
      </c>
      <c r="I60" s="12"/>
      <c r="J60" s="13" cm="1">
        <f t="array" ref="J60">palidzibas_d(H60,I60)</f>
        <v>0</v>
      </c>
      <c r="K60" s="13">
        <f>IFERROR(('Invoice Data'!$B60+'Invoice Data'!$D60-'Invoice Data'!$F60-'Invoice Data'!$J60+'Invoice Data'!$G60),"Kluda!")</f>
        <v>14513</v>
      </c>
      <c r="L60" s="13">
        <v>0</v>
      </c>
      <c r="M60" s="14" cm="1">
        <f t="array" ref="M60">IFERROR(jauna_bil(D60,F60,J60,B60,L60),"Kluda!")</f>
        <v>14513</v>
      </c>
    </row>
    <row r="61" spans="1:13" x14ac:dyDescent="0.25">
      <c r="A61" s="12">
        <v>30936</v>
      </c>
      <c r="B61" s="13">
        <v>0</v>
      </c>
      <c r="C61" s="12"/>
      <c r="D61" s="13">
        <v>7219</v>
      </c>
      <c r="E61" s="12">
        <v>2</v>
      </c>
      <c r="F61" s="13" cm="1">
        <f t="array" ref="F61">IFERROR(atlaide(E61,B61),"Kluda!")</f>
        <v>0</v>
      </c>
      <c r="G61" s="13"/>
      <c r="H61" s="12">
        <v>5</v>
      </c>
      <c r="I61" s="12"/>
      <c r="J61" s="13" cm="1">
        <f t="array" ref="J61">palidzibas_d(H61,I61)</f>
        <v>0</v>
      </c>
      <c r="K61" s="13">
        <f>IFERROR(('Invoice Data'!$B61+'Invoice Data'!$D61-'Invoice Data'!$F61-'Invoice Data'!$J61+'Invoice Data'!$G61),"Kluda!")</f>
        <v>7219</v>
      </c>
      <c r="L61" s="13">
        <v>0</v>
      </c>
      <c r="M61" s="14" cm="1">
        <f t="array" ref="M61">IFERROR(jauna_bil(D61,F61,J61,B61,L61),"Kluda!")</f>
        <v>7219</v>
      </c>
    </row>
    <row r="62" spans="1:13" x14ac:dyDescent="0.25">
      <c r="A62" s="12">
        <v>30945</v>
      </c>
      <c r="B62" s="13">
        <v>0</v>
      </c>
      <c r="C62" s="12"/>
      <c r="D62" s="13">
        <v>12664</v>
      </c>
      <c r="E62" s="12">
        <v>3</v>
      </c>
      <c r="F62" s="13" cm="1">
        <f t="array" ref="F62">IFERROR(atlaide(E62,B62),"Kluda!")</f>
        <v>0</v>
      </c>
      <c r="G62" s="13"/>
      <c r="H62" s="12">
        <v>7</v>
      </c>
      <c r="I62" s="12"/>
      <c r="J62" s="13" cm="1">
        <f t="array" ref="J62">palidzibas_d(H62,I62)</f>
        <v>0</v>
      </c>
      <c r="K62" s="13">
        <f>IFERROR(('Invoice Data'!$B62+'Invoice Data'!$D62-'Invoice Data'!$F62-'Invoice Data'!$J62+'Invoice Data'!$G62),"Kluda!")</f>
        <v>12664</v>
      </c>
      <c r="L62" s="13">
        <v>0</v>
      </c>
      <c r="M62" s="14" cm="1">
        <f t="array" ref="M62">IFERROR(jauna_bil(D62,F62,J62,B62,L62),"Kluda!")</f>
        <v>12664</v>
      </c>
    </row>
    <row r="63" spans="1:13" x14ac:dyDescent="0.25">
      <c r="A63" s="12">
        <v>30954</v>
      </c>
      <c r="B63" s="13">
        <v>0</v>
      </c>
      <c r="C63" s="12"/>
      <c r="D63" s="13">
        <v>5089</v>
      </c>
      <c r="E63" s="12">
        <v>1</v>
      </c>
      <c r="F63" s="13" cm="1">
        <f t="array" ref="F63">IFERROR(atlaide(E63,B63),"Kluda!")</f>
        <v>0</v>
      </c>
      <c r="G63" s="13"/>
      <c r="H63" s="12">
        <v>8</v>
      </c>
      <c r="I63" s="12"/>
      <c r="J63" s="13" cm="1">
        <f t="array" ref="J63">palidzibas_d(H63,I63)</f>
        <v>0</v>
      </c>
      <c r="K63" s="13">
        <f>IFERROR(('Invoice Data'!$B63+'Invoice Data'!$D63-'Invoice Data'!$F63-'Invoice Data'!$J63+'Invoice Data'!$G63),"Kluda!")</f>
        <v>5089</v>
      </c>
      <c r="L63" s="13">
        <v>0</v>
      </c>
      <c r="M63" s="14" cm="1">
        <f t="array" ref="M63">IFERROR(jauna_bil(D63,F63,J63,B63,L63),"Kluda!")</f>
        <v>5089</v>
      </c>
    </row>
    <row r="64" spans="1:13" x14ac:dyDescent="0.25">
      <c r="A64" s="12">
        <v>30963</v>
      </c>
      <c r="B64" s="13">
        <v>0</v>
      </c>
      <c r="C64" s="12"/>
      <c r="D64" s="13">
        <v>4888</v>
      </c>
      <c r="E64" s="12">
        <v>1</v>
      </c>
      <c r="F64" s="13" cm="1">
        <f t="array" ref="F64">IFERROR(atlaide(E64,B64),"Kluda!")</f>
        <v>0</v>
      </c>
      <c r="G64" s="13"/>
      <c r="H64" s="12">
        <v>5</v>
      </c>
      <c r="I64" s="12"/>
      <c r="J64" s="13" cm="1">
        <f t="array" ref="J64">palidzibas_d(H64,I64)</f>
        <v>0</v>
      </c>
      <c r="K64" s="13">
        <f>IFERROR(('Invoice Data'!$B64+'Invoice Data'!$D64-'Invoice Data'!$F64-'Invoice Data'!$J64+'Invoice Data'!$G64),"Kluda!")</f>
        <v>4888</v>
      </c>
      <c r="L64" s="13">
        <v>0</v>
      </c>
      <c r="M64" s="14" cm="1">
        <f t="array" ref="M64">IFERROR(jauna_bil(D64,F64,J64,B64,L64),"Kluda!")</f>
        <v>4888</v>
      </c>
    </row>
    <row r="65" spans="1:13" x14ac:dyDescent="0.25">
      <c r="A65" s="12">
        <v>30972</v>
      </c>
      <c r="B65" s="13">
        <v>0</v>
      </c>
      <c r="C65" s="12"/>
      <c r="D65" s="13">
        <v>4884</v>
      </c>
      <c r="E65" s="12">
        <v>1</v>
      </c>
      <c r="F65" s="13" cm="1">
        <f t="array" ref="F65">IFERROR(atlaide(E65,B65),"Kluda!")</f>
        <v>0</v>
      </c>
      <c r="G65" s="13"/>
      <c r="H65" s="12">
        <v>5</v>
      </c>
      <c r="I65" s="12"/>
      <c r="J65" s="13" cm="1">
        <f t="array" ref="J65">palidzibas_d(H65,I65)</f>
        <v>0</v>
      </c>
      <c r="K65" s="13">
        <f>IFERROR(('Invoice Data'!$B65+'Invoice Data'!$D65-'Invoice Data'!$F65-'Invoice Data'!$J65+'Invoice Data'!$G65),"Kluda!")</f>
        <v>4884</v>
      </c>
      <c r="L65" s="13">
        <v>0</v>
      </c>
      <c r="M65" s="14" cm="1">
        <f t="array" ref="M65">IFERROR(jauna_bil(D65,F65,J65,B65,L65),"Kluda!")</f>
        <v>4884</v>
      </c>
    </row>
    <row r="66" spans="1:13" x14ac:dyDescent="0.25">
      <c r="A66" s="12">
        <v>30981</v>
      </c>
      <c r="B66" s="13">
        <v>0</v>
      </c>
      <c r="C66" s="12"/>
      <c r="D66" s="13">
        <v>4529</v>
      </c>
      <c r="E66" s="12">
        <v>1</v>
      </c>
      <c r="F66" s="13" cm="1">
        <f t="array" ref="F66">IFERROR(atlaide(E66,B66),"Kluda!")</f>
        <v>0</v>
      </c>
      <c r="G66" s="13"/>
      <c r="H66" s="12">
        <v>1</v>
      </c>
      <c r="I66" s="12"/>
      <c r="J66" s="13" cm="1">
        <f t="array" ref="J66">palidzibas_d(H66,I66)</f>
        <v>0</v>
      </c>
      <c r="K66" s="13">
        <f>IFERROR(('Invoice Data'!$B66+'Invoice Data'!$D66-'Invoice Data'!$F66-'Invoice Data'!$J66+'Invoice Data'!$G66),"Kluda!")</f>
        <v>4529</v>
      </c>
      <c r="L66" s="13">
        <v>0</v>
      </c>
      <c r="M66" s="14" cm="1">
        <f t="array" ref="M66">IFERROR(jauna_bil(D66,F66,J66,B66,L66),"Kluda!")</f>
        <v>4529</v>
      </c>
    </row>
    <row r="67" spans="1:13" x14ac:dyDescent="0.25">
      <c r="A67" s="12">
        <v>30990</v>
      </c>
      <c r="B67" s="13">
        <v>0</v>
      </c>
      <c r="C67" s="12"/>
      <c r="D67" s="13">
        <v>8843</v>
      </c>
      <c r="E67" s="12">
        <v>2</v>
      </c>
      <c r="F67" s="13" cm="1">
        <f t="array" ref="F67">IFERROR(atlaide(E67,B67),"Kluda!")</f>
        <v>0</v>
      </c>
      <c r="G67" s="13"/>
      <c r="H67" s="12">
        <v>4</v>
      </c>
      <c r="I67" s="12"/>
      <c r="J67" s="13" cm="1">
        <f t="array" ref="J67">palidzibas_d(H67,I67)</f>
        <v>0</v>
      </c>
      <c r="K67" s="13">
        <f>IFERROR(('Invoice Data'!$B67+'Invoice Data'!$D67-'Invoice Data'!$F67-'Invoice Data'!$J67+'Invoice Data'!$G67),"Kluda!")</f>
        <v>8843</v>
      </c>
      <c r="L67" s="13">
        <v>0</v>
      </c>
      <c r="M67" s="14" cm="1">
        <f t="array" ref="M67">IFERROR(jauna_bil(D67,F67,J67,B67,L67),"Kluda!")</f>
        <v>8843</v>
      </c>
    </row>
    <row r="68" spans="1:13" x14ac:dyDescent="0.25">
      <c r="A68" s="12">
        <v>31007</v>
      </c>
      <c r="B68" s="13">
        <v>0</v>
      </c>
      <c r="C68" s="12"/>
      <c r="D68" s="13">
        <v>4118</v>
      </c>
      <c r="E68" s="12">
        <v>1</v>
      </c>
      <c r="F68" s="13" cm="1">
        <f t="array" ref="F68">IFERROR(atlaide(E68,B68),"Kluda!")</f>
        <v>0</v>
      </c>
      <c r="G68" s="13"/>
      <c r="H68" s="12">
        <v>4</v>
      </c>
      <c r="I68" s="12"/>
      <c r="J68" s="13" cm="1">
        <f t="array" ref="J68">palidzibas_d(H68,I68)</f>
        <v>0</v>
      </c>
      <c r="K68" s="13">
        <f>IFERROR(('Invoice Data'!$B68+'Invoice Data'!$D68-'Invoice Data'!$F68-'Invoice Data'!$J68+'Invoice Data'!$G68),"Kluda!")</f>
        <v>4118</v>
      </c>
      <c r="L68" s="13">
        <v>0</v>
      </c>
      <c r="M68" s="14" cm="1">
        <f t="array" ref="M68">IFERROR(jauna_bil(D68,F68,J68,B68,L68),"Kluda!")</f>
        <v>4118</v>
      </c>
    </row>
    <row r="69" spans="1:13" x14ac:dyDescent="0.25">
      <c r="A69" s="12">
        <v>31016</v>
      </c>
      <c r="B69" s="13">
        <v>0</v>
      </c>
      <c r="C69" s="12"/>
      <c r="D69" s="13">
        <v>3673</v>
      </c>
      <c r="E69" s="12">
        <v>1</v>
      </c>
      <c r="F69" s="13" cm="1">
        <f t="array" ref="F69">IFERROR(atlaide(E69,B69),"Kluda!")</f>
        <v>0</v>
      </c>
      <c r="G69" s="13"/>
      <c r="H69" s="12">
        <v>10</v>
      </c>
      <c r="I69" s="12"/>
      <c r="J69" s="13" cm="1">
        <f t="array" ref="J69">palidzibas_d(H69,I69)</f>
        <v>0</v>
      </c>
      <c r="K69" s="13">
        <f>IFERROR(('Invoice Data'!$B69+'Invoice Data'!$D69-'Invoice Data'!$F69-'Invoice Data'!$J69+'Invoice Data'!$G69),"Kluda!")</f>
        <v>3673</v>
      </c>
      <c r="L69" s="13">
        <v>0</v>
      </c>
      <c r="M69" s="14" cm="1">
        <f t="array" ref="M69">IFERROR(jauna_bil(D69,F69,J69,B69,L69),"Kluda!")</f>
        <v>3673</v>
      </c>
    </row>
    <row r="70" spans="1:13" x14ac:dyDescent="0.25">
      <c r="A70" s="12">
        <v>31025</v>
      </c>
      <c r="B70" s="13">
        <v>0</v>
      </c>
      <c r="C70" s="12"/>
      <c r="D70" s="13">
        <v>3367</v>
      </c>
      <c r="E70" s="12">
        <v>1</v>
      </c>
      <c r="F70" s="13" cm="1">
        <f t="array" ref="F70">IFERROR(atlaide(E70,B70),"Kluda!")</f>
        <v>0</v>
      </c>
      <c r="G70" s="13"/>
      <c r="H70" s="12">
        <v>16</v>
      </c>
      <c r="I70" s="12"/>
      <c r="J70" s="13" cm="1">
        <f t="array" ref="J70">palidzibas_d(H70,I70)</f>
        <v>0</v>
      </c>
      <c r="K70" s="13">
        <f>IFERROR(('Invoice Data'!$B70+'Invoice Data'!$D70-'Invoice Data'!$F70-'Invoice Data'!$J70+'Invoice Data'!$G70),"Kluda!")</f>
        <v>3367</v>
      </c>
      <c r="L70" s="13">
        <v>0</v>
      </c>
      <c r="M70" s="14" cm="1">
        <f t="array" ref="M70">IFERROR(jauna_bil(D70,F70,J70,B70,L70),"Kluda!")</f>
        <v>3367</v>
      </c>
    </row>
    <row r="71" spans="1:13" x14ac:dyDescent="0.25">
      <c r="A71" s="12">
        <v>31034</v>
      </c>
      <c r="B71" s="13">
        <v>0</v>
      </c>
      <c r="C71" s="12"/>
      <c r="D71" s="13">
        <v>3904</v>
      </c>
      <c r="E71" s="12">
        <v>1</v>
      </c>
      <c r="F71" s="13" cm="1">
        <f t="array" ref="F71">IFERROR(atlaide(E71,B71),"Kluda!")</f>
        <v>0</v>
      </c>
      <c r="G71" s="13"/>
      <c r="H71" s="12">
        <v>0</v>
      </c>
      <c r="I71" s="12" t="b">
        <v>1</v>
      </c>
      <c r="J71" s="13" cm="1">
        <f t="array" ref="J71">palidzibas_d(H71,I71)</f>
        <v>0</v>
      </c>
      <c r="K71" s="13">
        <f>IFERROR(('Invoice Data'!$B71+'Invoice Data'!$D71-'Invoice Data'!$F71-'Invoice Data'!$J71+'Invoice Data'!$G71),"Kluda!")</f>
        <v>3904</v>
      </c>
      <c r="L71" s="13">
        <v>0</v>
      </c>
      <c r="M71" s="14" cm="1">
        <f t="array" ref="M71">IFERROR(jauna_bil(D71,F71,J71,B71,L71),"Kluda!")</f>
        <v>3904</v>
      </c>
    </row>
    <row r="72" spans="1:13" x14ac:dyDescent="0.25">
      <c r="A72" s="12">
        <v>31043</v>
      </c>
      <c r="B72" s="13">
        <v>0</v>
      </c>
      <c r="C72" s="12"/>
      <c r="D72" s="13">
        <v>6724</v>
      </c>
      <c r="E72" s="12">
        <v>2</v>
      </c>
      <c r="F72" s="13" cm="1">
        <f t="array" ref="F72">IFERROR(atlaide(E72,B72),"Kluda!")</f>
        <v>0</v>
      </c>
      <c r="G72" s="13"/>
      <c r="H72" s="12">
        <v>6</v>
      </c>
      <c r="I72" s="12"/>
      <c r="J72" s="13" cm="1">
        <f t="array" ref="J72">palidzibas_d(H72,I72)</f>
        <v>0</v>
      </c>
      <c r="K72" s="13">
        <f>IFERROR(('Invoice Data'!$B72+'Invoice Data'!$D72-'Invoice Data'!$F72-'Invoice Data'!$J72+'Invoice Data'!$G72),"Kluda!")</f>
        <v>6724</v>
      </c>
      <c r="L72" s="13">
        <v>0</v>
      </c>
      <c r="M72" s="14" cm="1">
        <f t="array" ref="M72">IFERROR(jauna_bil(D72,F72,J72,B72,L72),"Kluda!")</f>
        <v>6724</v>
      </c>
    </row>
    <row r="73" spans="1:13" x14ac:dyDescent="0.25">
      <c r="A73" s="12">
        <v>31052</v>
      </c>
      <c r="B73" s="13">
        <v>0</v>
      </c>
      <c r="C73" s="12"/>
      <c r="D73" s="13">
        <v>4386</v>
      </c>
      <c r="E73" s="12">
        <v>1</v>
      </c>
      <c r="F73" s="13" cm="1">
        <f t="array" ref="F73">IFERROR(atlaide(E73,B73),"Kluda!")</f>
        <v>0</v>
      </c>
      <c r="G73" s="13"/>
      <c r="H73" s="12">
        <v>10</v>
      </c>
      <c r="I73" s="12"/>
      <c r="J73" s="13" cm="1">
        <f t="array" ref="J73">palidzibas_d(H73,I73)</f>
        <v>0</v>
      </c>
      <c r="K73" s="13">
        <f>IFERROR(('Invoice Data'!$B73+'Invoice Data'!$D73-'Invoice Data'!$F73-'Invoice Data'!$J73+'Invoice Data'!$G73),"Kluda!")</f>
        <v>4386</v>
      </c>
      <c r="L73" s="13">
        <v>0</v>
      </c>
      <c r="M73" s="14" cm="1">
        <f t="array" ref="M73">IFERROR(jauna_bil(D73,F73,J73,B73,L73),"Kluda!")</f>
        <v>4386</v>
      </c>
    </row>
    <row r="74" spans="1:13" x14ac:dyDescent="0.25">
      <c r="A74" s="12">
        <v>31061</v>
      </c>
      <c r="B74" s="13">
        <v>0</v>
      </c>
      <c r="C74" s="12"/>
      <c r="D74" s="13">
        <v>3870</v>
      </c>
      <c r="E74" s="12">
        <v>1</v>
      </c>
      <c r="F74" s="13" cm="1">
        <f t="array" ref="F74">IFERROR(atlaide(E74,B74),"Kluda!")</f>
        <v>0</v>
      </c>
      <c r="G74" s="13"/>
      <c r="H74" s="12">
        <v>4</v>
      </c>
      <c r="I74" s="12"/>
      <c r="J74" s="13" cm="1">
        <f t="array" ref="J74">palidzibas_d(H74,I74)</f>
        <v>0</v>
      </c>
      <c r="K74" s="13">
        <f>IFERROR(('Invoice Data'!$B74+'Invoice Data'!$D74-'Invoice Data'!$F74-'Invoice Data'!$J74+'Invoice Data'!$G74),"Kluda!")</f>
        <v>3870</v>
      </c>
      <c r="L74" s="13">
        <v>0</v>
      </c>
      <c r="M74" s="14" cm="1">
        <f t="array" ref="M74">IFERROR(jauna_bil(D74,F74,J74,B74,L74),"Kluda!")</f>
        <v>3870</v>
      </c>
    </row>
    <row r="75" spans="1:13" x14ac:dyDescent="0.25">
      <c r="A75" s="12">
        <v>31070</v>
      </c>
      <c r="B75" s="13">
        <v>0</v>
      </c>
      <c r="C75" s="12"/>
      <c r="D75" s="13">
        <v>7291</v>
      </c>
      <c r="E75" s="12">
        <v>2</v>
      </c>
      <c r="F75" s="13" cm="1">
        <f t="array" ref="F75">IFERROR(atlaide(E75,B75),"Kluda!")</f>
        <v>0</v>
      </c>
      <c r="G75" s="13"/>
      <c r="H75" s="12">
        <v>12</v>
      </c>
      <c r="I75" s="12"/>
      <c r="J75" s="13" cm="1">
        <f t="array" ref="J75">palidzibas_d(H75,I75)</f>
        <v>0</v>
      </c>
      <c r="K75" s="13">
        <f>IFERROR(('Invoice Data'!$B75+'Invoice Data'!$D75-'Invoice Data'!$F75-'Invoice Data'!$J75+'Invoice Data'!$G75),"Kluda!")</f>
        <v>7291</v>
      </c>
      <c r="L75" s="13">
        <v>0</v>
      </c>
      <c r="M75" s="14" cm="1">
        <f t="array" ref="M75">IFERROR(jauna_bil(D75,F75,J75,B75,L75),"Kluda!")</f>
        <v>7291</v>
      </c>
    </row>
    <row r="76" spans="1:13" x14ac:dyDescent="0.25">
      <c r="A76" s="12">
        <v>31089</v>
      </c>
      <c r="B76" s="13">
        <v>0</v>
      </c>
      <c r="C76" s="12"/>
      <c r="D76" s="13">
        <v>3523</v>
      </c>
      <c r="E76" s="12">
        <v>1</v>
      </c>
      <c r="F76" s="13" cm="1">
        <f t="array" ref="F76">IFERROR(atlaide(E76,B76),"Kluda!")</f>
        <v>0</v>
      </c>
      <c r="G76" s="13"/>
      <c r="H76" s="12">
        <v>5</v>
      </c>
      <c r="I76" s="12"/>
      <c r="J76" s="13" cm="1">
        <f t="array" ref="J76">palidzibas_d(H76,I76)</f>
        <v>0</v>
      </c>
      <c r="K76" s="13">
        <f>IFERROR(('Invoice Data'!$B76+'Invoice Data'!$D76-'Invoice Data'!$F76-'Invoice Data'!$J76+'Invoice Data'!$G76),"Kluda!")</f>
        <v>3523</v>
      </c>
      <c r="L76" s="13">
        <v>0</v>
      </c>
      <c r="M76" s="14" cm="1">
        <f t="array" ref="M76">IFERROR(jauna_bil(D76,F76,J76,B76,L76),"Kluda!")</f>
        <v>3523</v>
      </c>
    </row>
    <row r="77" spans="1:13" x14ac:dyDescent="0.25">
      <c r="A77" s="12">
        <v>31098</v>
      </c>
      <c r="B77" s="13">
        <v>0</v>
      </c>
      <c r="C77" s="12"/>
      <c r="D77" s="13">
        <v>4118</v>
      </c>
      <c r="E77" s="12">
        <v>1</v>
      </c>
      <c r="F77" s="13" cm="1">
        <f t="array" ref="F77">IFERROR(atlaide(E77,B77),"Kluda!")</f>
        <v>0</v>
      </c>
      <c r="G77" s="13"/>
      <c r="H77" s="12">
        <v>10</v>
      </c>
      <c r="I77" s="12"/>
      <c r="J77" s="13" cm="1">
        <f t="array" ref="J77">palidzibas_d(H77,I77)</f>
        <v>0</v>
      </c>
      <c r="K77" s="13">
        <f>IFERROR(('Invoice Data'!$B77+'Invoice Data'!$D77-'Invoice Data'!$F77-'Invoice Data'!$J77+'Invoice Data'!$G77),"Kluda!")</f>
        <v>4118</v>
      </c>
      <c r="L77" s="13">
        <v>0</v>
      </c>
      <c r="M77" s="14" cm="1">
        <f t="array" ref="M77">IFERROR(jauna_bil(D77,F77,J77,B77,L77),"Kluda!")</f>
        <v>4118</v>
      </c>
    </row>
    <row r="78" spans="1:13" x14ac:dyDescent="0.25">
      <c r="A78" s="12">
        <v>31105</v>
      </c>
      <c r="B78" s="13">
        <v>0</v>
      </c>
      <c r="C78" s="12"/>
      <c r="D78" s="13">
        <v>3834</v>
      </c>
      <c r="E78" s="12">
        <v>1</v>
      </c>
      <c r="F78" s="13" cm="1">
        <f t="array" ref="F78">IFERROR(atlaide(E78,B78),"Kluda!")</f>
        <v>0</v>
      </c>
      <c r="G78" s="13"/>
      <c r="H78" s="12">
        <v>13</v>
      </c>
      <c r="I78" s="12"/>
      <c r="J78" s="13" cm="1">
        <f t="array" ref="J78">palidzibas_d(H78,I78)</f>
        <v>0</v>
      </c>
      <c r="K78" s="13">
        <f>IFERROR(('Invoice Data'!$B78+'Invoice Data'!$D78-'Invoice Data'!$F78-'Invoice Data'!$J78+'Invoice Data'!$G78),"Kluda!")</f>
        <v>3834</v>
      </c>
      <c r="L78" s="13">
        <v>0</v>
      </c>
      <c r="M78" s="14" cm="1">
        <f t="array" ref="M78">IFERROR(jauna_bil(D78,F78,J78,B78,L78),"Kluda!")</f>
        <v>3834</v>
      </c>
    </row>
    <row r="79" spans="1:13" x14ac:dyDescent="0.25">
      <c r="A79" s="12">
        <v>31114</v>
      </c>
      <c r="B79" s="13">
        <v>0</v>
      </c>
      <c r="C79" s="12"/>
      <c r="D79" s="13">
        <v>9506</v>
      </c>
      <c r="E79" s="12">
        <v>2</v>
      </c>
      <c r="F79" s="13" cm="1">
        <f t="array" ref="F79">IFERROR(atlaide(E79,B79),"Kluda!")</f>
        <v>0</v>
      </c>
      <c r="G79" s="13"/>
      <c r="H79" s="12">
        <v>1</v>
      </c>
      <c r="I79" s="12"/>
      <c r="J79" s="13" cm="1">
        <f t="array" ref="J79">palidzibas_d(H79,I79)</f>
        <v>0</v>
      </c>
      <c r="K79" s="13">
        <f>IFERROR(('Invoice Data'!$B79+'Invoice Data'!$D79-'Invoice Data'!$F79-'Invoice Data'!$J79+'Invoice Data'!$G79),"Kluda!")</f>
        <v>9506</v>
      </c>
      <c r="L79" s="13">
        <v>0</v>
      </c>
      <c r="M79" s="14" cm="1">
        <f t="array" ref="M79">IFERROR(jauna_bil(D79,F79,J79,B79,L79),"Kluda!")</f>
        <v>9506</v>
      </c>
    </row>
    <row r="80" spans="1:13" x14ac:dyDescent="0.25">
      <c r="A80" s="12">
        <v>31123</v>
      </c>
      <c r="B80" s="13">
        <v>0</v>
      </c>
      <c r="C80" s="12"/>
      <c r="D80" s="13">
        <v>9293</v>
      </c>
      <c r="E80" s="12">
        <v>2</v>
      </c>
      <c r="F80" s="13" cm="1">
        <f t="array" ref="F80">IFERROR(atlaide(E80,B80),"Kluda!")</f>
        <v>0</v>
      </c>
      <c r="G80" s="13"/>
      <c r="H80" s="12">
        <v>14</v>
      </c>
      <c r="I80" s="12"/>
      <c r="J80" s="13" cm="1">
        <f t="array" ref="J80">palidzibas_d(H80,I80)</f>
        <v>0</v>
      </c>
      <c r="K80" s="13">
        <f>IFERROR(('Invoice Data'!$B80+'Invoice Data'!$D80-'Invoice Data'!$F80-'Invoice Data'!$J80+'Invoice Data'!$G80),"Kluda!")</f>
        <v>9293</v>
      </c>
      <c r="L80" s="13">
        <v>0</v>
      </c>
      <c r="M80" s="14" cm="1">
        <f t="array" ref="M80">IFERROR(jauna_bil(D80,F80,J80,B80,L80),"Kluda!")</f>
        <v>9293</v>
      </c>
    </row>
    <row r="81" spans="1:13" x14ac:dyDescent="0.25">
      <c r="A81" s="12">
        <v>31132</v>
      </c>
      <c r="B81" s="13">
        <v>0</v>
      </c>
      <c r="C81" s="12"/>
      <c r="D81" s="13">
        <v>8464</v>
      </c>
      <c r="E81" s="12">
        <v>2</v>
      </c>
      <c r="F81" s="13" cm="1">
        <f t="array" ref="F81">IFERROR(atlaide(E81,B81),"Kluda!")</f>
        <v>0</v>
      </c>
      <c r="G81" s="13"/>
      <c r="H81" s="12">
        <v>15</v>
      </c>
      <c r="I81" s="12"/>
      <c r="J81" s="13" cm="1">
        <f t="array" ref="J81">palidzibas_d(H81,I81)</f>
        <v>0</v>
      </c>
      <c r="K81" s="13">
        <f>IFERROR(('Invoice Data'!$B81+'Invoice Data'!$D81-'Invoice Data'!$F81-'Invoice Data'!$J81+'Invoice Data'!$G81),"Kluda!")</f>
        <v>8464</v>
      </c>
      <c r="L81" s="13">
        <v>0</v>
      </c>
      <c r="M81" s="14" cm="1">
        <f t="array" ref="M81">IFERROR(jauna_bil(D81,F81,J81,B81,L81),"Kluda!")</f>
        <v>8464</v>
      </c>
    </row>
    <row r="82" spans="1:13" x14ac:dyDescent="0.25">
      <c r="A82" s="12">
        <v>31141</v>
      </c>
      <c r="B82" s="13">
        <v>0</v>
      </c>
      <c r="C82" s="12"/>
      <c r="D82" s="13">
        <v>10173</v>
      </c>
      <c r="E82" s="12">
        <v>2</v>
      </c>
      <c r="F82" s="13" cm="1">
        <f t="array" ref="F82">IFERROR(atlaide(E82,B82),"Kluda!")</f>
        <v>0</v>
      </c>
      <c r="G82" s="13"/>
      <c r="H82" s="12">
        <v>4</v>
      </c>
      <c r="I82" s="12"/>
      <c r="J82" s="13" cm="1">
        <f t="array" ref="J82">palidzibas_d(H82,I82)</f>
        <v>0</v>
      </c>
      <c r="K82" s="13">
        <f>IFERROR(('Invoice Data'!$B82+'Invoice Data'!$D82-'Invoice Data'!$F82-'Invoice Data'!$J82+'Invoice Data'!$G82),"Kluda!")</f>
        <v>10173</v>
      </c>
      <c r="L82" s="13">
        <v>0</v>
      </c>
      <c r="M82" s="14" cm="1">
        <f t="array" ref="M82">IFERROR(jauna_bil(D82,F82,J82,B82,L82),"Kluda!")</f>
        <v>10173</v>
      </c>
    </row>
    <row r="83" spans="1:13" x14ac:dyDescent="0.25">
      <c r="A83" s="12">
        <v>31150</v>
      </c>
      <c r="B83" s="13">
        <v>0</v>
      </c>
      <c r="C83" s="12"/>
      <c r="D83" s="13">
        <v>8991</v>
      </c>
      <c r="E83" s="12">
        <v>2</v>
      </c>
      <c r="F83" s="13" cm="1">
        <f t="array" ref="F83">IFERROR(atlaide(E83,B83),"Kluda!")</f>
        <v>0</v>
      </c>
      <c r="G83" s="13"/>
      <c r="H83" s="12">
        <v>14</v>
      </c>
      <c r="I83" s="12"/>
      <c r="J83" s="13" cm="1">
        <f t="array" ref="J83">palidzibas_d(H83,I83)</f>
        <v>0</v>
      </c>
      <c r="K83" s="13">
        <f>IFERROR(('Invoice Data'!$B83+'Invoice Data'!$D83-'Invoice Data'!$F83-'Invoice Data'!$J83+'Invoice Data'!$G83),"Kluda!")</f>
        <v>8991</v>
      </c>
      <c r="L83" s="13">
        <v>0</v>
      </c>
      <c r="M83" s="14" cm="1">
        <f t="array" ref="M83">IFERROR(jauna_bil(D83,F83,J83,B83,L83),"Kluda!")</f>
        <v>8991</v>
      </c>
    </row>
    <row r="84" spans="1:13" x14ac:dyDescent="0.25">
      <c r="A84" s="12">
        <v>31169</v>
      </c>
      <c r="B84" s="13">
        <v>0</v>
      </c>
      <c r="C84" s="12"/>
      <c r="D84" s="13">
        <v>10404</v>
      </c>
      <c r="E84" s="12">
        <v>2</v>
      </c>
      <c r="F84" s="13" cm="1">
        <f t="array" ref="F84">IFERROR(atlaide(E84,B84),"Kluda!")</f>
        <v>0</v>
      </c>
      <c r="G84" s="13"/>
      <c r="H84" s="12">
        <v>6</v>
      </c>
      <c r="I84" s="12"/>
      <c r="J84" s="13" cm="1">
        <f t="array" ref="J84">palidzibas_d(H84,I84)</f>
        <v>0</v>
      </c>
      <c r="K84" s="13">
        <f>IFERROR(('Invoice Data'!$B84+'Invoice Data'!$D84-'Invoice Data'!$F84-'Invoice Data'!$J84+'Invoice Data'!$G84),"Kluda!")</f>
        <v>10404</v>
      </c>
      <c r="L84" s="13">
        <v>0</v>
      </c>
      <c r="M84" s="14" cm="1">
        <f t="array" ref="M84">IFERROR(jauna_bil(D84,F84,J84,B84,L84),"Kluda!")</f>
        <v>10404</v>
      </c>
    </row>
    <row r="85" spans="1:13" x14ac:dyDescent="0.25">
      <c r="A85" s="12">
        <v>31178</v>
      </c>
      <c r="B85" s="13">
        <v>0</v>
      </c>
      <c r="C85" s="12"/>
      <c r="D85" s="13">
        <v>8185</v>
      </c>
      <c r="E85" s="12">
        <v>2</v>
      </c>
      <c r="F85" s="13" cm="1">
        <f t="array" ref="F85">IFERROR(atlaide(E85,B85),"Kluda!")</f>
        <v>0</v>
      </c>
      <c r="G85" s="13"/>
      <c r="H85" s="12">
        <v>14</v>
      </c>
      <c r="I85" s="12"/>
      <c r="J85" s="13" cm="1">
        <f t="array" ref="J85">palidzibas_d(H85,I85)</f>
        <v>0</v>
      </c>
      <c r="K85" s="13">
        <f>IFERROR(('Invoice Data'!$B85+'Invoice Data'!$D85-'Invoice Data'!$F85-'Invoice Data'!$J85+'Invoice Data'!$G85),"Kluda!")</f>
        <v>8185</v>
      </c>
      <c r="L85" s="13">
        <v>0</v>
      </c>
      <c r="M85" s="14" cm="1">
        <f t="array" ref="M85">IFERROR(jauna_bil(D85,F85,J85,B85,L85),"Kluda!")</f>
        <v>8185</v>
      </c>
    </row>
    <row r="86" spans="1:13" x14ac:dyDescent="0.25">
      <c r="A86" s="12">
        <v>31187</v>
      </c>
      <c r="B86" s="13">
        <v>0</v>
      </c>
      <c r="C86" s="12"/>
      <c r="D86" s="13">
        <v>4530</v>
      </c>
      <c r="E86" s="12">
        <v>1</v>
      </c>
      <c r="F86" s="13" cm="1">
        <f t="array" ref="F86">IFERROR(atlaide(E86,B86),"Kluda!")</f>
        <v>0</v>
      </c>
      <c r="G86" s="13"/>
      <c r="H86" s="12">
        <v>13</v>
      </c>
      <c r="I86" s="12"/>
      <c r="J86" s="13" cm="1">
        <f t="array" ref="J86">palidzibas_d(H86,I86)</f>
        <v>0</v>
      </c>
      <c r="K86" s="13">
        <f>IFERROR(('Invoice Data'!$B86+'Invoice Data'!$D86-'Invoice Data'!$F86-'Invoice Data'!$J86+'Invoice Data'!$G86),"Kluda!")</f>
        <v>4530</v>
      </c>
      <c r="L86" s="13">
        <v>0</v>
      </c>
      <c r="M86" s="14" cm="1">
        <f t="array" ref="M86">IFERROR(jauna_bil(D86,F86,J86,B86,L86),"Kluda!")</f>
        <v>4530</v>
      </c>
    </row>
    <row r="87" spans="1:13" x14ac:dyDescent="0.25">
      <c r="A87" s="12">
        <v>31196</v>
      </c>
      <c r="B87" s="13">
        <v>0</v>
      </c>
      <c r="C87" s="12"/>
      <c r="D87" s="13">
        <v>9076</v>
      </c>
      <c r="E87" s="12">
        <v>2</v>
      </c>
      <c r="F87" s="13" cm="1">
        <f t="array" ref="F87">IFERROR(atlaide(E87,B87),"Kluda!")</f>
        <v>0</v>
      </c>
      <c r="G87" s="13"/>
      <c r="H87" s="12">
        <v>13</v>
      </c>
      <c r="I87" s="12"/>
      <c r="J87" s="13" cm="1">
        <f t="array" ref="J87">palidzibas_d(H87,I87)</f>
        <v>0</v>
      </c>
      <c r="K87" s="13">
        <f>IFERROR(('Invoice Data'!$B87+'Invoice Data'!$D87-'Invoice Data'!$F87-'Invoice Data'!$J87+'Invoice Data'!$G87),"Kluda!")</f>
        <v>9076</v>
      </c>
      <c r="L87" s="13">
        <v>0</v>
      </c>
      <c r="M87" s="14" cm="1">
        <f t="array" ref="M87">IFERROR(jauna_bil(D87,F87,J87,B87,L87),"Kluda!")</f>
        <v>9076</v>
      </c>
    </row>
    <row r="88" spans="1:13" x14ac:dyDescent="0.25">
      <c r="A88" s="12">
        <v>31203</v>
      </c>
      <c r="B88" s="13">
        <v>0</v>
      </c>
      <c r="C88" s="12"/>
      <c r="D88" s="13">
        <v>4873</v>
      </c>
      <c r="E88" s="12">
        <v>1</v>
      </c>
      <c r="F88" s="13" cm="1">
        <f t="array" ref="F88">IFERROR(atlaide(E88,B88),"Kluda!")</f>
        <v>0</v>
      </c>
      <c r="G88" s="13"/>
      <c r="H88" s="12">
        <v>2</v>
      </c>
      <c r="I88" s="12"/>
      <c r="J88" s="13" cm="1">
        <f t="array" ref="J88">palidzibas_d(H88,I88)</f>
        <v>0</v>
      </c>
      <c r="K88" s="13">
        <f>IFERROR(('Invoice Data'!$B88+'Invoice Data'!$D88-'Invoice Data'!$F88-'Invoice Data'!$J88+'Invoice Data'!$G88),"Kluda!")</f>
        <v>4873</v>
      </c>
      <c r="L88" s="13">
        <v>0</v>
      </c>
      <c r="M88" s="14" cm="1">
        <f t="array" ref="M88">IFERROR(jauna_bil(D88,F88,J88,B88,L88),"Kluda!")</f>
        <v>4873</v>
      </c>
    </row>
    <row r="89" spans="1:13" x14ac:dyDescent="0.25">
      <c r="A89" s="12">
        <v>31212</v>
      </c>
      <c r="B89" s="13">
        <v>0</v>
      </c>
      <c r="C89" s="12"/>
      <c r="D89" s="13">
        <v>9159</v>
      </c>
      <c r="E89" s="12">
        <v>2</v>
      </c>
      <c r="F89" s="13" cm="1">
        <f t="array" ref="F89">IFERROR(atlaide(E89,B89),"Kluda!")</f>
        <v>0</v>
      </c>
      <c r="G89" s="13"/>
      <c r="H89" s="12">
        <v>1</v>
      </c>
      <c r="I89" s="12"/>
      <c r="J89" s="13" cm="1">
        <f t="array" ref="J89">palidzibas_d(H89,I89)</f>
        <v>0</v>
      </c>
      <c r="K89" s="13">
        <f>IFERROR(('Invoice Data'!$B89+'Invoice Data'!$D89-'Invoice Data'!$F89-'Invoice Data'!$J89+'Invoice Data'!$G89),"Kluda!")</f>
        <v>9159</v>
      </c>
      <c r="L89" s="13">
        <v>0</v>
      </c>
      <c r="M89" s="14" cm="1">
        <f t="array" ref="M89">IFERROR(jauna_bil(D89,F89,J89,B89,L89),"Kluda!")</f>
        <v>9159</v>
      </c>
    </row>
    <row r="90" spans="1:13" x14ac:dyDescent="0.25">
      <c r="A90" s="12">
        <v>31221</v>
      </c>
      <c r="B90" s="13">
        <v>0</v>
      </c>
      <c r="C90" s="12"/>
      <c r="D90" s="13">
        <v>7064</v>
      </c>
      <c r="E90" s="12">
        <v>2</v>
      </c>
      <c r="F90" s="13" cm="1">
        <f t="array" ref="F90">IFERROR(atlaide(E90,B90),"Kluda!")</f>
        <v>0</v>
      </c>
      <c r="G90" s="13"/>
      <c r="H90" s="12">
        <v>1</v>
      </c>
      <c r="I90" s="12"/>
      <c r="J90" s="13" cm="1">
        <f t="array" ref="J90">palidzibas_d(H90,I90)</f>
        <v>0</v>
      </c>
      <c r="K90" s="13">
        <f>IFERROR(('Invoice Data'!$B90+'Invoice Data'!$D90-'Invoice Data'!$F90-'Invoice Data'!$J90+'Invoice Data'!$G90),"Kluda!")</f>
        <v>7064</v>
      </c>
      <c r="L90" s="13">
        <v>0</v>
      </c>
      <c r="M90" s="14" cm="1">
        <f t="array" ref="M90">IFERROR(jauna_bil(D90,F90,J90,B90,L90),"Kluda!")</f>
        <v>7064</v>
      </c>
    </row>
    <row r="91" spans="1:13" x14ac:dyDescent="0.25">
      <c r="A91" s="12">
        <v>31230</v>
      </c>
      <c r="B91" s="13">
        <v>0</v>
      </c>
      <c r="C91" s="12"/>
      <c r="D91" s="13">
        <v>8640</v>
      </c>
      <c r="E91" s="12">
        <v>2</v>
      </c>
      <c r="F91" s="13" cm="1">
        <f t="array" ref="F91">IFERROR(atlaide(E91,B91),"Kluda!")</f>
        <v>0</v>
      </c>
      <c r="G91" s="13"/>
      <c r="H91" s="12">
        <v>16</v>
      </c>
      <c r="I91" s="12"/>
      <c r="J91" s="13" cm="1">
        <f t="array" ref="J91">palidzibas_d(H91,I91)</f>
        <v>0</v>
      </c>
      <c r="K91" s="13">
        <f>IFERROR(('Invoice Data'!$B91+'Invoice Data'!$D91-'Invoice Data'!$F91-'Invoice Data'!$J91+'Invoice Data'!$G91),"Kluda!")</f>
        <v>8640</v>
      </c>
      <c r="L91" s="13">
        <v>0</v>
      </c>
      <c r="M91" s="14" cm="1">
        <f t="array" ref="M91">IFERROR(jauna_bil(D91,F91,J91,B91,L91),"Kluda!")</f>
        <v>8640</v>
      </c>
    </row>
    <row r="92" spans="1:13" x14ac:dyDescent="0.25">
      <c r="A92" s="12">
        <v>31249</v>
      </c>
      <c r="B92" s="13">
        <v>0</v>
      </c>
      <c r="C92" s="12"/>
      <c r="D92" s="13">
        <v>10032</v>
      </c>
      <c r="E92" s="12">
        <v>2</v>
      </c>
      <c r="F92" s="13" cm="1">
        <f t="array" ref="F92">IFERROR(atlaide(E92,B92),"Kluda!")</f>
        <v>0</v>
      </c>
      <c r="G92" s="13"/>
      <c r="H92" s="12">
        <v>12</v>
      </c>
      <c r="I92" s="12"/>
      <c r="J92" s="13" cm="1">
        <f t="array" ref="J92">palidzibas_d(H92,I92)</f>
        <v>0</v>
      </c>
      <c r="K92" s="13">
        <f>IFERROR(('Invoice Data'!$B92+'Invoice Data'!$D92-'Invoice Data'!$F92-'Invoice Data'!$J92+'Invoice Data'!$G92),"Kluda!")</f>
        <v>10032</v>
      </c>
      <c r="L92" s="13">
        <v>0</v>
      </c>
      <c r="M92" s="14" cm="1">
        <f t="array" ref="M92">IFERROR(jauna_bil(D92,F92,J92,B92,L92),"Kluda!")</f>
        <v>10032</v>
      </c>
    </row>
    <row r="93" spans="1:13" x14ac:dyDescent="0.25">
      <c r="A93" s="12">
        <v>31258</v>
      </c>
      <c r="B93" s="13">
        <v>0</v>
      </c>
      <c r="C93" s="12"/>
      <c r="D93" s="13">
        <v>3167</v>
      </c>
      <c r="E93" s="12">
        <v>1</v>
      </c>
      <c r="F93" s="13" cm="1">
        <f t="array" ref="F93">IFERROR(atlaide(E93,B93),"Kluda!")</f>
        <v>0</v>
      </c>
      <c r="G93" s="13"/>
      <c r="H93" s="12">
        <v>5</v>
      </c>
      <c r="I93" s="12"/>
      <c r="J93" s="13" cm="1">
        <f t="array" ref="J93">palidzibas_d(H93,I93)</f>
        <v>0</v>
      </c>
      <c r="K93" s="13">
        <f>IFERROR(('Invoice Data'!$B93+'Invoice Data'!$D93-'Invoice Data'!$F93-'Invoice Data'!$J93+'Invoice Data'!$G93),"Kluda!")</f>
        <v>3167</v>
      </c>
      <c r="L93" s="13">
        <v>0</v>
      </c>
      <c r="M93" s="14" cm="1">
        <f t="array" ref="M93">IFERROR(jauna_bil(D93,F93,J93,B93,L93),"Kluda!")</f>
        <v>3167</v>
      </c>
    </row>
    <row r="94" spans="1:13" x14ac:dyDescent="0.25">
      <c r="A94" s="12">
        <v>31267</v>
      </c>
      <c r="B94" s="13">
        <v>0</v>
      </c>
      <c r="C94" s="12"/>
      <c r="D94" s="13">
        <v>7350</v>
      </c>
      <c r="E94" s="12">
        <v>2</v>
      </c>
      <c r="F94" s="13" cm="1">
        <f t="array" ref="F94">IFERROR(atlaide(E94,B94),"Kluda!")</f>
        <v>0</v>
      </c>
      <c r="G94" s="13"/>
      <c r="H94" s="12">
        <v>16</v>
      </c>
      <c r="I94" s="12"/>
      <c r="J94" s="13" cm="1">
        <f t="array" ref="J94">palidzibas_d(H94,I94)</f>
        <v>0</v>
      </c>
      <c r="K94" s="13">
        <f>IFERROR(('Invoice Data'!$B94+'Invoice Data'!$D94-'Invoice Data'!$F94-'Invoice Data'!$J94+'Invoice Data'!$G94),"Kluda!")</f>
        <v>7350</v>
      </c>
      <c r="L94" s="13">
        <v>0</v>
      </c>
      <c r="M94" s="14" cm="1">
        <f t="array" ref="M94">IFERROR(jauna_bil(D94,F94,J94,B94,L94),"Kluda!")</f>
        <v>7350</v>
      </c>
    </row>
    <row r="95" spans="1:13" x14ac:dyDescent="0.25">
      <c r="A95" s="12">
        <v>31276</v>
      </c>
      <c r="B95" s="13">
        <v>0</v>
      </c>
      <c r="C95" s="12"/>
      <c r="D95" s="13">
        <v>3705</v>
      </c>
      <c r="E95" s="12">
        <v>1</v>
      </c>
      <c r="F95" s="13" cm="1">
        <f t="array" ref="F95">IFERROR(atlaide(E95,B95),"Kluda!")</f>
        <v>0</v>
      </c>
      <c r="G95" s="13"/>
      <c r="H95" s="12">
        <v>5</v>
      </c>
      <c r="I95" s="12"/>
      <c r="J95" s="13" cm="1">
        <f t="array" ref="J95">palidzibas_d(H95,I95)</f>
        <v>0</v>
      </c>
      <c r="K95" s="13">
        <f>IFERROR(('Invoice Data'!$B95+'Invoice Data'!$D95-'Invoice Data'!$F95-'Invoice Data'!$J95+'Invoice Data'!$G95),"Kluda!")</f>
        <v>3705</v>
      </c>
      <c r="L95" s="13">
        <v>0</v>
      </c>
      <c r="M95" s="14" cm="1">
        <f t="array" ref="M95">IFERROR(jauna_bil(D95,F95,J95,B95,L95),"Kluda!")</f>
        <v>3705</v>
      </c>
    </row>
    <row r="96" spans="1:13" x14ac:dyDescent="0.25">
      <c r="A96" s="12">
        <v>31285</v>
      </c>
      <c r="B96" s="13">
        <v>0</v>
      </c>
      <c r="C96" s="12"/>
      <c r="D96" s="13">
        <v>9142</v>
      </c>
      <c r="E96" s="12">
        <v>2</v>
      </c>
      <c r="F96" s="13" cm="1">
        <f t="array" ref="F96">IFERROR(atlaide(E96,B96),"Kluda!")</f>
        <v>0</v>
      </c>
      <c r="G96" s="13"/>
      <c r="H96" s="12">
        <v>8</v>
      </c>
      <c r="I96" s="12"/>
      <c r="J96" s="13" cm="1">
        <f t="array" ref="J96">palidzibas_d(H96,I96)</f>
        <v>0</v>
      </c>
      <c r="K96" s="13">
        <f>IFERROR(('Invoice Data'!$B96+'Invoice Data'!$D96-'Invoice Data'!$F96-'Invoice Data'!$J96+'Invoice Data'!$G96),"Kluda!")</f>
        <v>9142</v>
      </c>
      <c r="L96" s="13">
        <v>0</v>
      </c>
      <c r="M96" s="14" cm="1">
        <f t="array" ref="M96">IFERROR(jauna_bil(D96,F96,J96,B96,L96),"Kluda!")</f>
        <v>9142</v>
      </c>
    </row>
    <row r="97" spans="1:13" x14ac:dyDescent="0.25">
      <c r="A97" s="12">
        <v>31294</v>
      </c>
      <c r="B97" s="13">
        <v>0</v>
      </c>
      <c r="C97" s="12"/>
      <c r="D97" s="13">
        <v>8618</v>
      </c>
      <c r="E97" s="12">
        <v>2</v>
      </c>
      <c r="F97" s="13" cm="1">
        <f t="array" ref="F97">IFERROR(atlaide(E97,B97),"Kluda!")</f>
        <v>0</v>
      </c>
      <c r="G97" s="13"/>
      <c r="H97" s="12">
        <v>11</v>
      </c>
      <c r="I97" s="12"/>
      <c r="J97" s="13" cm="1">
        <f t="array" ref="J97">palidzibas_d(H97,I97)</f>
        <v>0</v>
      </c>
      <c r="K97" s="13">
        <f>IFERROR(('Invoice Data'!$B97+'Invoice Data'!$D97-'Invoice Data'!$F97-'Invoice Data'!$J97+'Invoice Data'!$G97),"Kluda!")</f>
        <v>8618</v>
      </c>
      <c r="L97" s="13">
        <v>0</v>
      </c>
      <c r="M97" s="14" cm="1">
        <f t="array" ref="M97">IFERROR(jauna_bil(D97,F97,J97,B97,L97),"Kluda!")</f>
        <v>8618</v>
      </c>
    </row>
    <row r="98" spans="1:13" x14ac:dyDescent="0.25">
      <c r="A98" s="12">
        <v>31301</v>
      </c>
      <c r="B98" s="13">
        <v>0</v>
      </c>
      <c r="C98" s="12"/>
      <c r="D98" s="13">
        <v>5608</v>
      </c>
      <c r="E98" s="12">
        <v>1</v>
      </c>
      <c r="F98" s="13" cm="1">
        <f t="array" ref="F98">IFERROR(atlaide(E98,B98),"Kluda!")</f>
        <v>0</v>
      </c>
      <c r="G98" s="13"/>
      <c r="H98" s="12">
        <v>4</v>
      </c>
      <c r="I98" s="12"/>
      <c r="J98" s="13" cm="1">
        <f t="array" ref="J98">palidzibas_d(H98,I98)</f>
        <v>0</v>
      </c>
      <c r="K98" s="13">
        <f>IFERROR(('Invoice Data'!$B98+'Invoice Data'!$D98-'Invoice Data'!$F98-'Invoice Data'!$J98+'Invoice Data'!$G98),"Kluda!")</f>
        <v>5608</v>
      </c>
      <c r="L98" s="13">
        <v>0</v>
      </c>
      <c r="M98" s="14" cm="1">
        <f t="array" ref="M98">IFERROR(jauna_bil(D98,F98,J98,B98,L98),"Kluda!")</f>
        <v>5608</v>
      </c>
    </row>
    <row r="99" spans="1:13" x14ac:dyDescent="0.25">
      <c r="A99" s="12">
        <v>31310</v>
      </c>
      <c r="B99" s="13">
        <v>0</v>
      </c>
      <c r="C99" s="12"/>
      <c r="D99" s="13">
        <v>7835</v>
      </c>
      <c r="E99" s="12">
        <v>2</v>
      </c>
      <c r="F99" s="13" cm="1">
        <f t="array" ref="F99">IFERROR(atlaide(E99,B99),"Kluda!")</f>
        <v>0</v>
      </c>
      <c r="G99" s="13"/>
      <c r="H99" s="12">
        <v>9</v>
      </c>
      <c r="I99" s="12"/>
      <c r="J99" s="13" cm="1">
        <f t="array" ref="J99">palidzibas_d(H99,I99)</f>
        <v>0</v>
      </c>
      <c r="K99" s="13">
        <f>IFERROR(('Invoice Data'!$B99+'Invoice Data'!$D99-'Invoice Data'!$F99-'Invoice Data'!$J99+'Invoice Data'!$G99),"Kluda!")</f>
        <v>7835</v>
      </c>
      <c r="L99" s="13">
        <v>0</v>
      </c>
      <c r="M99" s="14" cm="1">
        <f t="array" ref="M99">IFERROR(jauna_bil(D99,F99,J99,B99,L99),"Kluda!")</f>
        <v>7835</v>
      </c>
    </row>
    <row r="100" spans="1:13" x14ac:dyDescent="0.25">
      <c r="A100" s="12">
        <v>31329</v>
      </c>
      <c r="B100" s="13">
        <v>0</v>
      </c>
      <c r="C100" s="12"/>
      <c r="D100" s="13">
        <v>3618</v>
      </c>
      <c r="E100" s="12">
        <v>1</v>
      </c>
      <c r="F100" s="13" cm="1">
        <f t="array" ref="F100">IFERROR(atlaide(E100,B100),"Kluda!")</f>
        <v>0</v>
      </c>
      <c r="G100" s="13"/>
      <c r="H100" s="12">
        <v>16</v>
      </c>
      <c r="I100" s="12"/>
      <c r="J100" s="13" cm="1">
        <f t="array" ref="J100">palidzibas_d(H100,I100)</f>
        <v>0</v>
      </c>
      <c r="K100" s="13">
        <f>IFERROR(('Invoice Data'!$B100+'Invoice Data'!$D100-'Invoice Data'!$F100-'Invoice Data'!$J100+'Invoice Data'!$G100),"Kluda!")</f>
        <v>3618</v>
      </c>
      <c r="L100" s="13">
        <v>0</v>
      </c>
      <c r="M100" s="14" cm="1">
        <f t="array" ref="M100">IFERROR(jauna_bil(D100,F100,J100,B100,L100),"Kluda!")</f>
        <v>3618</v>
      </c>
    </row>
    <row r="101" spans="1:13" x14ac:dyDescent="0.25">
      <c r="A101" s="12">
        <v>31338</v>
      </c>
      <c r="B101" s="13">
        <v>0</v>
      </c>
      <c r="C101" s="12"/>
      <c r="D101" s="13">
        <v>3851</v>
      </c>
      <c r="E101" s="12">
        <v>1</v>
      </c>
      <c r="F101" s="13" cm="1">
        <f t="array" ref="F101">IFERROR(atlaide(E101,B101),"Kluda!")</f>
        <v>0</v>
      </c>
      <c r="G101" s="13"/>
      <c r="H101" s="12">
        <v>6</v>
      </c>
      <c r="I101" s="12"/>
      <c r="J101" s="13" cm="1">
        <f t="array" ref="J101">palidzibas_d(H101,I101)</f>
        <v>0</v>
      </c>
      <c r="K101" s="13">
        <f>IFERROR(('Invoice Data'!$B101+'Invoice Data'!$D101-'Invoice Data'!$F101-'Invoice Data'!$J101+'Invoice Data'!$G101),"Kluda!")</f>
        <v>3851</v>
      </c>
      <c r="L101" s="13">
        <v>0</v>
      </c>
      <c r="M101" s="14" cm="1">
        <f t="array" ref="M101">IFERROR(jauna_bil(D101,F101,J101,B101,L101),"Kluda!")</f>
        <v>3851</v>
      </c>
    </row>
    <row r="102" spans="1:13" x14ac:dyDescent="0.25">
      <c r="A102" s="12">
        <v>31347</v>
      </c>
      <c r="B102" s="13">
        <v>0</v>
      </c>
      <c r="C102" s="12"/>
      <c r="D102" s="13">
        <v>4693</v>
      </c>
      <c r="E102" s="12">
        <v>1</v>
      </c>
      <c r="F102" s="13" cm="1">
        <f t="array" ref="F102">IFERROR(atlaide(E102,B102),"Kluda!")</f>
        <v>0</v>
      </c>
      <c r="G102" s="13"/>
      <c r="H102" s="12">
        <v>13</v>
      </c>
      <c r="I102" s="12"/>
      <c r="J102" s="13" cm="1">
        <f t="array" ref="J102">palidzibas_d(H102,I102)</f>
        <v>0</v>
      </c>
      <c r="K102" s="13">
        <f>IFERROR(('Invoice Data'!$B102+'Invoice Data'!$D102-'Invoice Data'!$F102-'Invoice Data'!$J102+'Invoice Data'!$G102),"Kluda!")</f>
        <v>4693</v>
      </c>
      <c r="L102" s="13">
        <v>0</v>
      </c>
      <c r="M102" s="14" cm="1">
        <f t="array" ref="M102">IFERROR(jauna_bil(D102,F102,J102,B102,L102),"Kluda!")</f>
        <v>4693</v>
      </c>
    </row>
    <row r="103" spans="1:13" x14ac:dyDescent="0.25">
      <c r="A103" s="12">
        <v>31356</v>
      </c>
      <c r="B103" s="13">
        <v>0</v>
      </c>
      <c r="C103" s="12"/>
      <c r="D103" s="13">
        <v>9361</v>
      </c>
      <c r="E103" s="12">
        <v>2</v>
      </c>
      <c r="F103" s="13" cm="1">
        <f t="array" ref="F103">IFERROR(atlaide(E103,B103),"Kluda!")</f>
        <v>0</v>
      </c>
      <c r="G103" s="13"/>
      <c r="H103" s="12">
        <v>3</v>
      </c>
      <c r="I103" s="12"/>
      <c r="J103" s="13" cm="1">
        <f t="array" ref="J103">palidzibas_d(H103,I103)</f>
        <v>0</v>
      </c>
      <c r="K103" s="13">
        <f>IFERROR(('Invoice Data'!$B103+'Invoice Data'!$D103-'Invoice Data'!$F103-'Invoice Data'!$J103+'Invoice Data'!$G103),"Kluda!")</f>
        <v>9361</v>
      </c>
      <c r="L103" s="13">
        <v>0</v>
      </c>
      <c r="M103" s="14" cm="1">
        <f t="array" ref="M103">IFERROR(jauna_bil(D103,F103,J103,B103,L103),"Kluda!")</f>
        <v>9361</v>
      </c>
    </row>
    <row r="104" spans="1:13" x14ac:dyDescent="0.25">
      <c r="A104" s="12">
        <v>31365</v>
      </c>
      <c r="B104" s="13">
        <v>0</v>
      </c>
      <c r="C104" s="12"/>
      <c r="D104" s="13">
        <v>8057</v>
      </c>
      <c r="E104" s="12">
        <v>2</v>
      </c>
      <c r="F104" s="13" cm="1">
        <f t="array" ref="F104">IFERROR(atlaide(E104,B104),"Kluda!")</f>
        <v>0</v>
      </c>
      <c r="G104" s="13"/>
      <c r="H104" s="12">
        <v>5</v>
      </c>
      <c r="I104" s="12"/>
      <c r="J104" s="13" cm="1">
        <f t="array" ref="J104">palidzibas_d(H104,I104)</f>
        <v>0</v>
      </c>
      <c r="K104" s="13">
        <f>IFERROR(('Invoice Data'!$B104+'Invoice Data'!$D104-'Invoice Data'!$F104-'Invoice Data'!$J104+'Invoice Data'!$G104),"Kluda!")</f>
        <v>8057</v>
      </c>
      <c r="L104" s="13">
        <v>0</v>
      </c>
      <c r="M104" s="14" cm="1">
        <f t="array" ref="M104">IFERROR(jauna_bil(D104,F104,J104,B104,L104),"Kluda!")</f>
        <v>8057</v>
      </c>
    </row>
    <row r="105" spans="1:13" x14ac:dyDescent="0.25">
      <c r="A105" s="12">
        <v>31374</v>
      </c>
      <c r="B105" s="13">
        <v>0</v>
      </c>
      <c r="C105" s="12"/>
      <c r="D105" s="13">
        <v>7164</v>
      </c>
      <c r="E105" s="12">
        <v>2</v>
      </c>
      <c r="F105" s="13" cm="1">
        <f t="array" ref="F105">IFERROR(atlaide(E105,B105),"Kluda!")</f>
        <v>0</v>
      </c>
      <c r="G105" s="13"/>
      <c r="H105" s="12">
        <v>7</v>
      </c>
      <c r="I105" s="12"/>
      <c r="J105" s="13" cm="1">
        <f t="array" ref="J105">palidzibas_d(H105,I105)</f>
        <v>0</v>
      </c>
      <c r="K105" s="13">
        <f>IFERROR(('Invoice Data'!$B105+'Invoice Data'!$D105-'Invoice Data'!$F105-'Invoice Data'!$J105+'Invoice Data'!$G105),"Kluda!")</f>
        <v>7164</v>
      </c>
      <c r="L105" s="13">
        <v>0</v>
      </c>
      <c r="M105" s="14" cm="1">
        <f t="array" ref="M105">IFERROR(jauna_bil(D105,F105,J105,B105,L105),"Kluda!")</f>
        <v>7164</v>
      </c>
    </row>
    <row r="106" spans="1:13" x14ac:dyDescent="0.25">
      <c r="A106" s="12">
        <v>31383</v>
      </c>
      <c r="B106" s="13">
        <v>0</v>
      </c>
      <c r="C106" s="12"/>
      <c r="D106" s="13">
        <v>10253</v>
      </c>
      <c r="E106" s="12">
        <v>2</v>
      </c>
      <c r="F106" s="13" cm="1">
        <f t="array" ref="F106">IFERROR(atlaide(E106,B106),"Kluda!")</f>
        <v>0</v>
      </c>
      <c r="G106" s="13"/>
      <c r="H106" s="12">
        <v>6</v>
      </c>
      <c r="I106" s="12"/>
      <c r="J106" s="13" cm="1">
        <f t="array" ref="J106">palidzibas_d(H106,I106)</f>
        <v>0</v>
      </c>
      <c r="K106" s="13">
        <f>IFERROR(('Invoice Data'!$B106+'Invoice Data'!$D106-'Invoice Data'!$F106-'Invoice Data'!$J106+'Invoice Data'!$G106),"Kluda!")</f>
        <v>10253</v>
      </c>
      <c r="L106" s="13">
        <v>0</v>
      </c>
      <c r="M106" s="14" cm="1">
        <f t="array" ref="M106">IFERROR(jauna_bil(D106,F106,J106,B106,L106),"Kluda!")</f>
        <v>10253</v>
      </c>
    </row>
    <row r="107" spans="1:13" x14ac:dyDescent="0.25">
      <c r="A107" s="12">
        <v>31392</v>
      </c>
      <c r="B107" s="13">
        <v>0</v>
      </c>
      <c r="C107" s="12"/>
      <c r="D107" s="13">
        <v>3767</v>
      </c>
      <c r="E107" s="12">
        <v>1</v>
      </c>
      <c r="F107" s="13" cm="1">
        <f t="array" ref="F107">IFERROR(atlaide(E107,B107),"Kluda!")</f>
        <v>0</v>
      </c>
      <c r="G107" s="13"/>
      <c r="H107" s="12">
        <v>0</v>
      </c>
      <c r="I107" s="12" t="b">
        <v>1</v>
      </c>
      <c r="J107" s="13" cm="1">
        <f t="array" ref="J107">palidzibas_d(H107,I107)</f>
        <v>0</v>
      </c>
      <c r="K107" s="13">
        <f>IFERROR(('Invoice Data'!$B107+'Invoice Data'!$D107-'Invoice Data'!$F107-'Invoice Data'!$J107+'Invoice Data'!$G107),"Kluda!")</f>
        <v>3767</v>
      </c>
      <c r="L107" s="13">
        <v>0</v>
      </c>
      <c r="M107" s="14" cm="1">
        <f t="array" ref="M107">IFERROR(jauna_bil(D107,F107,J107,B107,L107),"Kluda!")</f>
        <v>3767</v>
      </c>
    </row>
    <row r="108" spans="1:13" x14ac:dyDescent="0.25">
      <c r="A108" s="12">
        <v>31409</v>
      </c>
      <c r="B108" s="13">
        <v>0</v>
      </c>
      <c r="C108" s="12"/>
      <c r="D108" s="13">
        <v>11564</v>
      </c>
      <c r="E108" s="12">
        <v>3</v>
      </c>
      <c r="F108" s="13" cm="1">
        <f t="array" ref="F108">IFERROR(atlaide(E108,B108),"Kluda!")</f>
        <v>0</v>
      </c>
      <c r="G108" s="13"/>
      <c r="H108" s="12">
        <v>1</v>
      </c>
      <c r="I108" s="12"/>
      <c r="J108" s="13" cm="1">
        <f t="array" ref="J108">palidzibas_d(H108,I108)</f>
        <v>0</v>
      </c>
      <c r="K108" s="13">
        <f>IFERROR(('Invoice Data'!$B108+'Invoice Data'!$D108-'Invoice Data'!$F108-'Invoice Data'!$J108+'Invoice Data'!$G108),"Kluda!")</f>
        <v>11564</v>
      </c>
      <c r="L108" s="13">
        <v>0</v>
      </c>
      <c r="M108" s="14" cm="1">
        <f t="array" ref="M108">IFERROR(jauna_bil(D108,F108,J108,B108,L108),"Kluda!")</f>
        <v>11564</v>
      </c>
    </row>
    <row r="109" spans="1:13" x14ac:dyDescent="0.25">
      <c r="A109" s="12">
        <v>31418</v>
      </c>
      <c r="B109" s="13">
        <v>0</v>
      </c>
      <c r="C109" s="12"/>
      <c r="D109" s="13">
        <v>3728</v>
      </c>
      <c r="E109" s="12">
        <v>1</v>
      </c>
      <c r="F109" s="13" cm="1">
        <f t="array" ref="F109">IFERROR(atlaide(E109,B109),"Kluda!")</f>
        <v>0</v>
      </c>
      <c r="G109" s="13"/>
      <c r="H109" s="12">
        <v>11</v>
      </c>
      <c r="I109" s="12"/>
      <c r="J109" s="13" cm="1">
        <f t="array" ref="J109">palidzibas_d(H109,I109)</f>
        <v>0</v>
      </c>
      <c r="K109" s="13">
        <f>IFERROR(('Invoice Data'!$B109+'Invoice Data'!$D109-'Invoice Data'!$F109-'Invoice Data'!$J109+'Invoice Data'!$G109),"Kluda!")</f>
        <v>3728</v>
      </c>
      <c r="L109" s="13">
        <v>0</v>
      </c>
      <c r="M109" s="14" cm="1">
        <f t="array" ref="M109">IFERROR(jauna_bil(D109,F109,J109,B109,L109),"Kluda!")</f>
        <v>3728</v>
      </c>
    </row>
    <row r="110" spans="1:13" x14ac:dyDescent="0.25">
      <c r="A110" s="12">
        <v>31427</v>
      </c>
      <c r="B110" s="13">
        <v>0</v>
      </c>
      <c r="C110" s="12"/>
      <c r="D110" s="13">
        <v>4291</v>
      </c>
      <c r="E110" s="12">
        <v>1</v>
      </c>
      <c r="F110" s="13" cm="1">
        <f t="array" ref="F110">IFERROR(atlaide(E110,B110),"Kluda!")</f>
        <v>0</v>
      </c>
      <c r="G110" s="13"/>
      <c r="H110" s="12">
        <v>15</v>
      </c>
      <c r="I110" s="12"/>
      <c r="J110" s="13" cm="1">
        <f t="array" ref="J110">palidzibas_d(H110,I110)</f>
        <v>0</v>
      </c>
      <c r="K110" s="13">
        <f>IFERROR(('Invoice Data'!$B110+'Invoice Data'!$D110-'Invoice Data'!$F110-'Invoice Data'!$J110+'Invoice Data'!$G110),"Kluda!")</f>
        <v>4291</v>
      </c>
      <c r="L110" s="13">
        <v>0</v>
      </c>
      <c r="M110" s="14" cm="1">
        <f t="array" ref="M110">IFERROR(jauna_bil(D110,F110,J110,B110,L110),"Kluda!")</f>
        <v>4291</v>
      </c>
    </row>
    <row r="111" spans="1:13" x14ac:dyDescent="0.25">
      <c r="A111" s="12">
        <v>31436</v>
      </c>
      <c r="B111" s="13">
        <v>0</v>
      </c>
      <c r="C111" s="12"/>
      <c r="D111" s="13">
        <v>5511</v>
      </c>
      <c r="E111" s="12">
        <v>1</v>
      </c>
      <c r="F111" s="13" cm="1">
        <f t="array" ref="F111">IFERROR(atlaide(E111,B111),"Kluda!")</f>
        <v>0</v>
      </c>
      <c r="G111" s="13"/>
      <c r="H111" s="12">
        <v>15</v>
      </c>
      <c r="I111" s="12"/>
      <c r="J111" s="13" cm="1">
        <f t="array" ref="J111">palidzibas_d(H111,I111)</f>
        <v>0</v>
      </c>
      <c r="K111" s="13">
        <f>IFERROR(('Invoice Data'!$B111+'Invoice Data'!$D111-'Invoice Data'!$F111-'Invoice Data'!$J111+'Invoice Data'!$G111),"Kluda!")</f>
        <v>5511</v>
      </c>
      <c r="L111" s="13">
        <v>0</v>
      </c>
      <c r="M111" s="14" cm="1">
        <f t="array" ref="M111">IFERROR(jauna_bil(D111,F111,J111,B111,L111),"Kluda!")</f>
        <v>5511</v>
      </c>
    </row>
    <row r="112" spans="1:13" x14ac:dyDescent="0.25">
      <c r="A112" s="12">
        <v>31445</v>
      </c>
      <c r="B112" s="13">
        <v>0</v>
      </c>
      <c r="C112" s="12"/>
      <c r="D112" s="13">
        <v>10389</v>
      </c>
      <c r="E112" s="12">
        <v>2</v>
      </c>
      <c r="F112" s="13" cm="1">
        <f t="array" ref="F112">IFERROR(atlaide(E112,B112),"Kluda!")</f>
        <v>0</v>
      </c>
      <c r="G112" s="13"/>
      <c r="H112" s="12">
        <v>9</v>
      </c>
      <c r="I112" s="12"/>
      <c r="J112" s="13" cm="1">
        <f t="array" ref="J112">palidzibas_d(H112,I112)</f>
        <v>0</v>
      </c>
      <c r="K112" s="13">
        <f>IFERROR(('Invoice Data'!$B112+'Invoice Data'!$D112-'Invoice Data'!$F112-'Invoice Data'!$J112+'Invoice Data'!$G112),"Kluda!")</f>
        <v>10389</v>
      </c>
      <c r="L112" s="13">
        <v>0</v>
      </c>
      <c r="M112" s="14" cm="1">
        <f t="array" ref="M112">IFERROR(jauna_bil(D112,F112,J112,B112,L112),"Kluda!")</f>
        <v>10389</v>
      </c>
    </row>
    <row r="113" spans="1:13" x14ac:dyDescent="0.25">
      <c r="A113" s="12">
        <v>31454</v>
      </c>
      <c r="B113" s="13">
        <v>0</v>
      </c>
      <c r="C113" s="12"/>
      <c r="D113" s="13">
        <v>9755</v>
      </c>
      <c r="E113" s="12">
        <v>2</v>
      </c>
      <c r="F113" s="13" cm="1">
        <f t="array" ref="F113">IFERROR(atlaide(E113,B113),"Kluda!")</f>
        <v>0</v>
      </c>
      <c r="G113" s="13"/>
      <c r="H113" s="12">
        <v>12</v>
      </c>
      <c r="I113" s="12"/>
      <c r="J113" s="13" cm="1">
        <f t="array" ref="J113">palidzibas_d(H113,I113)</f>
        <v>0</v>
      </c>
      <c r="K113" s="13">
        <f>IFERROR(('Invoice Data'!$B113+'Invoice Data'!$D113-'Invoice Data'!$F113-'Invoice Data'!$J113+'Invoice Data'!$G113),"Kluda!")</f>
        <v>9755</v>
      </c>
      <c r="L113" s="13">
        <v>0</v>
      </c>
      <c r="M113" s="14" cm="1">
        <f t="array" ref="M113">IFERROR(jauna_bil(D113,F113,J113,B113,L113),"Kluda!")</f>
        <v>9755</v>
      </c>
    </row>
    <row r="114" spans="1:13" x14ac:dyDescent="0.25">
      <c r="A114" s="12">
        <v>31463</v>
      </c>
      <c r="B114" s="13">
        <v>0</v>
      </c>
      <c r="C114" s="12"/>
      <c r="D114" s="13">
        <v>4427</v>
      </c>
      <c r="E114" s="12">
        <v>1</v>
      </c>
      <c r="F114" s="13" cm="1">
        <f t="array" ref="F114">IFERROR(atlaide(E114,B114),"Kluda!")</f>
        <v>0</v>
      </c>
      <c r="G114" s="13"/>
      <c r="H114" s="12">
        <v>11</v>
      </c>
      <c r="I114" s="12"/>
      <c r="J114" s="13" cm="1">
        <f t="array" ref="J114">palidzibas_d(H114,I114)</f>
        <v>0</v>
      </c>
      <c r="K114" s="13">
        <f>IFERROR(('Invoice Data'!$B114+'Invoice Data'!$D114-'Invoice Data'!$F114-'Invoice Data'!$J114+'Invoice Data'!$G114),"Kluda!")</f>
        <v>4427</v>
      </c>
      <c r="L114" s="13">
        <v>0</v>
      </c>
      <c r="M114" s="14" cm="1">
        <f t="array" ref="M114">IFERROR(jauna_bil(D114,F114,J114,B114,L114),"Kluda!")</f>
        <v>4427</v>
      </c>
    </row>
    <row r="115" spans="1:13" x14ac:dyDescent="0.25">
      <c r="A115" s="12">
        <v>31472</v>
      </c>
      <c r="B115" s="13">
        <v>0</v>
      </c>
      <c r="C115" s="12"/>
      <c r="D115" s="13">
        <v>8393</v>
      </c>
      <c r="E115" s="12">
        <v>2</v>
      </c>
      <c r="F115" s="13" cm="1">
        <f t="array" ref="F115">IFERROR(atlaide(E115,B115),"Kluda!")</f>
        <v>0</v>
      </c>
      <c r="G115" s="13"/>
      <c r="H115" s="12">
        <v>9</v>
      </c>
      <c r="I115" s="12"/>
      <c r="J115" s="13" cm="1">
        <f t="array" ref="J115">palidzibas_d(H115,I115)</f>
        <v>0</v>
      </c>
      <c r="K115" s="13">
        <f>IFERROR(('Invoice Data'!$B115+'Invoice Data'!$D115-'Invoice Data'!$F115-'Invoice Data'!$J115+'Invoice Data'!$G115),"Kluda!")</f>
        <v>8393</v>
      </c>
      <c r="L115" s="13">
        <v>0</v>
      </c>
      <c r="M115" s="14" cm="1">
        <f t="array" ref="M115">IFERROR(jauna_bil(D115,F115,J115,B115,L115),"Kluda!")</f>
        <v>8393</v>
      </c>
    </row>
    <row r="116" spans="1:13" x14ac:dyDescent="0.25">
      <c r="A116" s="12">
        <v>31481</v>
      </c>
      <c r="B116" s="13">
        <v>0</v>
      </c>
      <c r="C116" s="12"/>
      <c r="D116" s="13">
        <v>10558</v>
      </c>
      <c r="E116" s="12">
        <v>2</v>
      </c>
      <c r="F116" s="13" cm="1">
        <f t="array" ref="F116">IFERROR(atlaide(E116,B116),"Kluda!")</f>
        <v>0</v>
      </c>
      <c r="G116" s="13"/>
      <c r="H116" s="12">
        <v>5</v>
      </c>
      <c r="I116" s="12"/>
      <c r="J116" s="13" cm="1">
        <f t="array" ref="J116">palidzibas_d(H116,I116)</f>
        <v>0</v>
      </c>
      <c r="K116" s="13">
        <f>IFERROR(('Invoice Data'!$B116+'Invoice Data'!$D116-'Invoice Data'!$F116-'Invoice Data'!$J116+'Invoice Data'!$G116),"Kluda!")</f>
        <v>10558</v>
      </c>
      <c r="L116" s="13">
        <v>0</v>
      </c>
      <c r="M116" s="14" cm="1">
        <f t="array" ref="M116">IFERROR(jauna_bil(D116,F116,J116,B116,L116),"Kluda!")</f>
        <v>10558</v>
      </c>
    </row>
    <row r="117" spans="1:13" x14ac:dyDescent="0.25">
      <c r="A117" s="12">
        <v>31490</v>
      </c>
      <c r="B117" s="13">
        <v>0</v>
      </c>
      <c r="C117" s="12"/>
      <c r="D117" s="13">
        <v>3859</v>
      </c>
      <c r="E117" s="12">
        <v>1</v>
      </c>
      <c r="F117" s="13" cm="1">
        <f t="array" ref="F117">IFERROR(atlaide(E117,B117),"Kluda!")</f>
        <v>0</v>
      </c>
      <c r="G117" s="13"/>
      <c r="H117" s="12">
        <v>15</v>
      </c>
      <c r="I117" s="12"/>
      <c r="J117" s="13" cm="1">
        <f t="array" ref="J117">palidzibas_d(H117,I117)</f>
        <v>0</v>
      </c>
      <c r="K117" s="13">
        <f>IFERROR(('Invoice Data'!$B117+'Invoice Data'!$D117-'Invoice Data'!$F117-'Invoice Data'!$J117+'Invoice Data'!$G117),"Kluda!")</f>
        <v>3859</v>
      </c>
      <c r="L117" s="13">
        <v>0</v>
      </c>
      <c r="M117" s="14" cm="1">
        <f t="array" ref="M117">IFERROR(jauna_bil(D117,F117,J117,B117,L117),"Kluda!")</f>
        <v>3859</v>
      </c>
    </row>
    <row r="118" spans="1:13" x14ac:dyDescent="0.25">
      <c r="A118" s="12">
        <v>31506</v>
      </c>
      <c r="B118" s="13">
        <v>0</v>
      </c>
      <c r="C118" s="12"/>
      <c r="D118" s="13">
        <v>6393</v>
      </c>
      <c r="E118" s="12">
        <v>2</v>
      </c>
      <c r="F118" s="13" cm="1">
        <f t="array" ref="F118">IFERROR(atlaide(E118,B118),"Kluda!")</f>
        <v>0</v>
      </c>
      <c r="G118" s="13"/>
      <c r="H118" s="12">
        <v>0</v>
      </c>
      <c r="I118" s="12"/>
      <c r="J118" s="13" cm="1">
        <f t="array" ref="J118">palidzibas_d(H118,I118)</f>
        <v>0</v>
      </c>
      <c r="K118" s="13">
        <f>IFERROR(('Invoice Data'!$B118+'Invoice Data'!$D118-'Invoice Data'!$F118-'Invoice Data'!$J118+'Invoice Data'!$G118),"Kluda!")</f>
        <v>6393</v>
      </c>
      <c r="L118" s="13">
        <v>0</v>
      </c>
      <c r="M118" s="14" cm="1">
        <f t="array" ref="M118">IFERROR(jauna_bil(D118,F118,J118,B118,L118),"Kluda!")</f>
        <v>6393</v>
      </c>
    </row>
    <row r="119" spans="1:13" x14ac:dyDescent="0.25">
      <c r="A119" s="12">
        <v>31515</v>
      </c>
      <c r="B119" s="13">
        <v>0</v>
      </c>
      <c r="C119" s="12"/>
      <c r="D119" s="13">
        <v>4499</v>
      </c>
      <c r="E119" s="12">
        <v>1</v>
      </c>
      <c r="F119" s="13" cm="1">
        <f t="array" ref="F119">IFERROR(atlaide(E119,B119),"Kluda!")</f>
        <v>0</v>
      </c>
      <c r="G119" s="13"/>
      <c r="H119" s="12">
        <v>8</v>
      </c>
      <c r="I119" s="12"/>
      <c r="J119" s="13" cm="1">
        <f t="array" ref="J119">palidzibas_d(H119,I119)</f>
        <v>0</v>
      </c>
      <c r="K119" s="13">
        <f>IFERROR(('Invoice Data'!$B119+'Invoice Data'!$D119-'Invoice Data'!$F119-'Invoice Data'!$J119+'Invoice Data'!$G119),"Kluda!")</f>
        <v>4499</v>
      </c>
      <c r="L119" s="13">
        <v>0</v>
      </c>
      <c r="M119" s="14" cm="1">
        <f t="array" ref="M119">IFERROR(jauna_bil(D119,F119,J119,B119,L119),"Kluda!")</f>
        <v>4499</v>
      </c>
    </row>
    <row r="120" spans="1:13" x14ac:dyDescent="0.25">
      <c r="A120" s="12">
        <v>31524</v>
      </c>
      <c r="B120" s="13">
        <v>0</v>
      </c>
      <c r="C120" s="12"/>
      <c r="D120" s="13">
        <v>8730</v>
      </c>
      <c r="E120" s="12">
        <v>2</v>
      </c>
      <c r="F120" s="13" cm="1">
        <f t="array" ref="F120">IFERROR(atlaide(E120,B120),"Kluda!")</f>
        <v>0</v>
      </c>
      <c r="G120" s="13"/>
      <c r="H120" s="12">
        <v>5</v>
      </c>
      <c r="I120" s="12"/>
      <c r="J120" s="13" cm="1">
        <f t="array" ref="J120">palidzibas_d(H120,I120)</f>
        <v>0</v>
      </c>
      <c r="K120" s="13">
        <f>IFERROR(('Invoice Data'!$B120+'Invoice Data'!$D120-'Invoice Data'!$F120-'Invoice Data'!$J120+'Invoice Data'!$G120),"Kluda!")</f>
        <v>8730</v>
      </c>
      <c r="L120" s="13">
        <v>0</v>
      </c>
      <c r="M120" s="14" cm="1">
        <f t="array" ref="M120">IFERROR(jauna_bil(D120,F120,J120,B120,L120),"Kluda!")</f>
        <v>8730</v>
      </c>
    </row>
    <row r="121" spans="1:13" x14ac:dyDescent="0.25">
      <c r="A121" s="12">
        <v>31533</v>
      </c>
      <c r="B121" s="13">
        <v>0</v>
      </c>
      <c r="C121" s="12"/>
      <c r="D121" s="13">
        <v>6896</v>
      </c>
      <c r="E121" s="12">
        <v>2</v>
      </c>
      <c r="F121" s="13" cm="1">
        <f t="array" ref="F121">IFERROR(atlaide(E121,B121),"Kluda!")</f>
        <v>0</v>
      </c>
      <c r="G121" s="13"/>
      <c r="H121" s="12">
        <v>16</v>
      </c>
      <c r="I121" s="12"/>
      <c r="J121" s="13" cm="1">
        <f t="array" ref="J121">palidzibas_d(H121,I121)</f>
        <v>0</v>
      </c>
      <c r="K121" s="13">
        <f>IFERROR(('Invoice Data'!$B121+'Invoice Data'!$D121-'Invoice Data'!$F121-'Invoice Data'!$J121+'Invoice Data'!$G121),"Kluda!")</f>
        <v>6896</v>
      </c>
      <c r="L121" s="13">
        <v>0</v>
      </c>
      <c r="M121" s="14" cm="1">
        <f t="array" ref="M121">IFERROR(jauna_bil(D121,F121,J121,B121,L121),"Kluda!")</f>
        <v>6896</v>
      </c>
    </row>
    <row r="122" spans="1:13" x14ac:dyDescent="0.25">
      <c r="A122" s="12">
        <v>31542</v>
      </c>
      <c r="B122" s="13">
        <v>0</v>
      </c>
      <c r="C122" s="12"/>
      <c r="D122" s="13">
        <v>6852</v>
      </c>
      <c r="E122" s="12">
        <v>2</v>
      </c>
      <c r="F122" s="13" cm="1">
        <f t="array" ref="F122">IFERROR(atlaide(E122,B122),"Kluda!")</f>
        <v>0</v>
      </c>
      <c r="G122" s="13"/>
      <c r="H122" s="12">
        <v>13</v>
      </c>
      <c r="I122" s="12"/>
      <c r="J122" s="13" cm="1">
        <f t="array" ref="J122">palidzibas_d(H122,I122)</f>
        <v>0</v>
      </c>
      <c r="K122" s="13">
        <f>IFERROR(('Invoice Data'!$B122+'Invoice Data'!$D122-'Invoice Data'!$F122-'Invoice Data'!$J122+'Invoice Data'!$G122),"Kluda!")</f>
        <v>6852</v>
      </c>
      <c r="L122" s="13">
        <v>0</v>
      </c>
      <c r="M122" s="14" cm="1">
        <f t="array" ref="M122">IFERROR(jauna_bil(D122,F122,J122,B122,L122),"Kluda!")</f>
        <v>6852</v>
      </c>
    </row>
    <row r="123" spans="1:13" x14ac:dyDescent="0.25">
      <c r="A123" s="12">
        <v>31551</v>
      </c>
      <c r="B123" s="13">
        <v>0</v>
      </c>
      <c r="C123" s="12"/>
      <c r="D123" s="13">
        <v>4281</v>
      </c>
      <c r="E123" s="12">
        <v>1</v>
      </c>
      <c r="F123" s="13" cm="1">
        <f t="array" ref="F123">IFERROR(atlaide(E123,B123),"Kluda!")</f>
        <v>0</v>
      </c>
      <c r="G123" s="13"/>
      <c r="H123" s="12">
        <v>2</v>
      </c>
      <c r="I123" s="12"/>
      <c r="J123" s="13" cm="1">
        <f t="array" ref="J123">palidzibas_d(H123,I123)</f>
        <v>0</v>
      </c>
      <c r="K123" s="13">
        <f>IFERROR(('Invoice Data'!$B123+'Invoice Data'!$D123-'Invoice Data'!$F123-'Invoice Data'!$J123+'Invoice Data'!$G123),"Kluda!")</f>
        <v>4281</v>
      </c>
      <c r="L123" s="13">
        <v>0</v>
      </c>
      <c r="M123" s="14" cm="1">
        <f t="array" ref="M123">IFERROR(jauna_bil(D123,F123,J123,B123,L123),"Kluda!")</f>
        <v>4281</v>
      </c>
    </row>
    <row r="124" spans="1:13" x14ac:dyDescent="0.25">
      <c r="A124" s="12">
        <v>31560</v>
      </c>
      <c r="B124" s="13">
        <v>0</v>
      </c>
      <c r="C124" s="12"/>
      <c r="D124" s="13">
        <v>4114</v>
      </c>
      <c r="E124" s="12">
        <v>1</v>
      </c>
      <c r="F124" s="13" cm="1">
        <f t="array" ref="F124">IFERROR(atlaide(E124,B124),"Kluda!")</f>
        <v>0</v>
      </c>
      <c r="G124" s="13"/>
      <c r="H124" s="12">
        <v>4</v>
      </c>
      <c r="I124" s="12"/>
      <c r="J124" s="13" cm="1">
        <f t="array" ref="J124">palidzibas_d(H124,I124)</f>
        <v>0</v>
      </c>
      <c r="K124" s="13">
        <f>IFERROR(('Invoice Data'!$B124+'Invoice Data'!$D124-'Invoice Data'!$F124-'Invoice Data'!$J124+'Invoice Data'!$G124),"Kluda!")</f>
        <v>4114</v>
      </c>
      <c r="L124" s="13">
        <v>0</v>
      </c>
      <c r="M124" s="14" cm="1">
        <f t="array" ref="M124">IFERROR(jauna_bil(D124,F124,J124,B124,L124),"Kluda!")</f>
        <v>4114</v>
      </c>
    </row>
    <row r="125" spans="1:13" x14ac:dyDescent="0.25">
      <c r="A125" s="12">
        <v>31579</v>
      </c>
      <c r="B125" s="13">
        <v>0</v>
      </c>
      <c r="C125" s="12"/>
      <c r="D125" s="13">
        <v>4369</v>
      </c>
      <c r="E125" s="12">
        <v>1</v>
      </c>
      <c r="F125" s="13" cm="1">
        <f t="array" ref="F125">IFERROR(atlaide(E125,B125),"Kluda!")</f>
        <v>0</v>
      </c>
      <c r="G125" s="13"/>
      <c r="H125" s="12">
        <v>3</v>
      </c>
      <c r="I125" s="12"/>
      <c r="J125" s="13" cm="1">
        <f t="array" ref="J125">palidzibas_d(H125,I125)</f>
        <v>0</v>
      </c>
      <c r="K125" s="13">
        <f>IFERROR(('Invoice Data'!$B125+'Invoice Data'!$D125-'Invoice Data'!$F125-'Invoice Data'!$J125+'Invoice Data'!$G125),"Kluda!")</f>
        <v>4369</v>
      </c>
      <c r="L125" s="13">
        <v>0</v>
      </c>
      <c r="M125" s="14" cm="1">
        <f t="array" ref="M125">IFERROR(jauna_bil(D125,F125,J125,B125,L125),"Kluda!")</f>
        <v>4369</v>
      </c>
    </row>
    <row r="126" spans="1:13" x14ac:dyDescent="0.25">
      <c r="A126" s="12">
        <v>31588</v>
      </c>
      <c r="B126" s="13">
        <v>0</v>
      </c>
      <c r="C126" s="12"/>
      <c r="D126" s="13">
        <v>4241</v>
      </c>
      <c r="E126" s="12">
        <v>1</v>
      </c>
      <c r="F126" s="13" cm="1">
        <f t="array" ref="F126">IFERROR(atlaide(E126,B126),"Kluda!")</f>
        <v>0</v>
      </c>
      <c r="G126" s="13"/>
      <c r="H126" s="12">
        <v>12</v>
      </c>
      <c r="I126" s="12"/>
      <c r="J126" s="13" cm="1">
        <f t="array" ref="J126">palidzibas_d(H126,I126)</f>
        <v>0</v>
      </c>
      <c r="K126" s="13">
        <f>IFERROR(('Invoice Data'!$B126+'Invoice Data'!$D126-'Invoice Data'!$F126-'Invoice Data'!$J126+'Invoice Data'!$G126),"Kluda!")</f>
        <v>4241</v>
      </c>
      <c r="L126" s="13">
        <v>0</v>
      </c>
      <c r="M126" s="14" cm="1">
        <f t="array" ref="M126">IFERROR(jauna_bil(D126,F126,J126,B126,L126),"Kluda!")</f>
        <v>4241</v>
      </c>
    </row>
    <row r="127" spans="1:13" x14ac:dyDescent="0.25">
      <c r="A127" s="12">
        <v>31597</v>
      </c>
      <c r="B127" s="13">
        <v>0</v>
      </c>
      <c r="C127" s="12"/>
      <c r="D127" s="13">
        <v>8326</v>
      </c>
      <c r="E127" s="12">
        <v>2</v>
      </c>
      <c r="F127" s="13" cm="1">
        <f t="array" ref="F127">IFERROR(atlaide(E127,B127),"Kluda!")</f>
        <v>0</v>
      </c>
      <c r="G127" s="13"/>
      <c r="H127" s="12">
        <v>0</v>
      </c>
      <c r="I127" s="12"/>
      <c r="J127" s="13" cm="1">
        <f t="array" ref="J127">palidzibas_d(H127,I127)</f>
        <v>0</v>
      </c>
      <c r="K127" s="13">
        <f>IFERROR(('Invoice Data'!$B127+'Invoice Data'!$D127-'Invoice Data'!$F127-'Invoice Data'!$J127+'Invoice Data'!$G127),"Kluda!")</f>
        <v>8326</v>
      </c>
      <c r="L127" s="13">
        <v>0</v>
      </c>
      <c r="M127" s="14" cm="1">
        <f t="array" ref="M127">IFERROR(jauna_bil(D127,F127,J127,B127,L127),"Kluda!")</f>
        <v>8326</v>
      </c>
    </row>
    <row r="128" spans="1:13" x14ac:dyDescent="0.25">
      <c r="A128" s="12">
        <v>31604</v>
      </c>
      <c r="B128" s="13">
        <v>0</v>
      </c>
      <c r="C128" s="12"/>
      <c r="D128" s="13">
        <v>5313</v>
      </c>
      <c r="E128" s="12">
        <v>1</v>
      </c>
      <c r="F128" s="13" cm="1">
        <f t="array" ref="F128">IFERROR(atlaide(E128,B128),"Kluda!")</f>
        <v>0</v>
      </c>
      <c r="G128" s="13"/>
      <c r="H128" s="12">
        <v>13</v>
      </c>
      <c r="I128" s="12"/>
      <c r="J128" s="13" cm="1">
        <f t="array" ref="J128">palidzibas_d(H128,I128)</f>
        <v>0</v>
      </c>
      <c r="K128" s="13">
        <f>IFERROR(('Invoice Data'!$B128+'Invoice Data'!$D128-'Invoice Data'!$F128-'Invoice Data'!$J128+'Invoice Data'!$G128),"Kluda!")</f>
        <v>5313</v>
      </c>
      <c r="L128" s="13">
        <v>0</v>
      </c>
      <c r="M128" s="14" cm="1">
        <f t="array" ref="M128">IFERROR(jauna_bil(D128,F128,J128,B128,L128),"Kluda!")</f>
        <v>5313</v>
      </c>
    </row>
    <row r="129" spans="1:13" x14ac:dyDescent="0.25">
      <c r="A129" s="12">
        <v>31613</v>
      </c>
      <c r="B129" s="13">
        <v>0</v>
      </c>
      <c r="C129" s="12"/>
      <c r="D129" s="13">
        <v>4494</v>
      </c>
      <c r="E129" s="12">
        <v>1</v>
      </c>
      <c r="F129" s="13" cm="1">
        <f t="array" ref="F129">IFERROR(atlaide(E129,B129),"Kluda!")</f>
        <v>0</v>
      </c>
      <c r="G129" s="13"/>
      <c r="H129" s="12">
        <v>16</v>
      </c>
      <c r="I129" s="12" t="b">
        <v>1</v>
      </c>
      <c r="J129" s="13" cm="1">
        <f t="array" ref="J129">palidzibas_d(H129,I129)</f>
        <v>250</v>
      </c>
      <c r="K129" s="13">
        <f>IFERROR(('Invoice Data'!$B129+'Invoice Data'!$D129-'Invoice Data'!$F129-'Invoice Data'!$J129+'Invoice Data'!$G129),"Kluda!")</f>
        <v>4244</v>
      </c>
      <c r="L129" s="13">
        <v>0</v>
      </c>
      <c r="M129" s="14" cm="1">
        <f t="array" ref="M129">IFERROR(jauna_bil(D129,F129,J129,B129,L129),"Kluda!")</f>
        <v>4244</v>
      </c>
    </row>
    <row r="130" spans="1:13" x14ac:dyDescent="0.25">
      <c r="A130" s="12">
        <v>31622</v>
      </c>
      <c r="B130" s="13">
        <v>0</v>
      </c>
      <c r="C130" s="12"/>
      <c r="D130" s="13">
        <v>4896</v>
      </c>
      <c r="E130" s="12">
        <v>1</v>
      </c>
      <c r="F130" s="13" cm="1">
        <f t="array" ref="F130">IFERROR(atlaide(E130,B130),"Kluda!")</f>
        <v>0</v>
      </c>
      <c r="G130" s="13"/>
      <c r="H130" s="12">
        <v>1</v>
      </c>
      <c r="I130" s="12"/>
      <c r="J130" s="13" cm="1">
        <f t="array" ref="J130">palidzibas_d(H130,I130)</f>
        <v>0</v>
      </c>
      <c r="K130" s="13">
        <f>IFERROR(('Invoice Data'!$B130+'Invoice Data'!$D130-'Invoice Data'!$F130-'Invoice Data'!$J130+'Invoice Data'!$G130),"Kluda!")</f>
        <v>4896</v>
      </c>
      <c r="L130" s="13">
        <v>0</v>
      </c>
      <c r="M130" s="14" cm="1">
        <f t="array" ref="M130">IFERROR(jauna_bil(D130,F130,J130,B130,L130),"Kluda!")</f>
        <v>4896</v>
      </c>
    </row>
    <row r="131" spans="1:13" x14ac:dyDescent="0.25">
      <c r="A131" s="12">
        <v>31631</v>
      </c>
      <c r="B131" s="13">
        <v>0</v>
      </c>
      <c r="C131" s="12"/>
      <c r="D131" s="13">
        <v>10118</v>
      </c>
      <c r="E131" s="12">
        <v>2</v>
      </c>
      <c r="F131" s="13" cm="1">
        <f t="array" ref="F131">IFERROR(atlaide(E131,B131),"Kluda!")</f>
        <v>0</v>
      </c>
      <c r="G131" s="13"/>
      <c r="H131" s="12">
        <v>0</v>
      </c>
      <c r="I131" s="12"/>
      <c r="J131" s="13" cm="1">
        <f t="array" ref="J131">palidzibas_d(H131,I131)</f>
        <v>0</v>
      </c>
      <c r="K131" s="13">
        <f>IFERROR(('Invoice Data'!$B131+'Invoice Data'!$D131-'Invoice Data'!$F131-'Invoice Data'!$J131+'Invoice Data'!$G131),"Kluda!")</f>
        <v>10118</v>
      </c>
      <c r="L131" s="13">
        <v>0</v>
      </c>
      <c r="M131" s="14" cm="1">
        <f t="array" ref="M131">IFERROR(jauna_bil(D131,F131,J131,B131,L131),"Kluda!")</f>
        <v>10118</v>
      </c>
    </row>
    <row r="132" spans="1:13" x14ac:dyDescent="0.25">
      <c r="A132" s="12">
        <v>31640</v>
      </c>
      <c r="B132" s="13">
        <v>0</v>
      </c>
      <c r="C132" s="12"/>
      <c r="D132" s="13">
        <v>4608</v>
      </c>
      <c r="E132" s="12">
        <v>1</v>
      </c>
      <c r="F132" s="13" cm="1">
        <f t="array" ref="F132">IFERROR(atlaide(E132,B132),"Kluda!")</f>
        <v>0</v>
      </c>
      <c r="G132" s="13"/>
      <c r="H132" s="12">
        <v>16</v>
      </c>
      <c r="I132" s="12"/>
      <c r="J132" s="13" cm="1">
        <f t="array" ref="J132">palidzibas_d(H132,I132)</f>
        <v>0</v>
      </c>
      <c r="K132" s="13">
        <f>IFERROR(('Invoice Data'!$B132+'Invoice Data'!$D132-'Invoice Data'!$F132-'Invoice Data'!$J132+'Invoice Data'!$G132),"Kluda!")</f>
        <v>4608</v>
      </c>
      <c r="L132" s="13">
        <v>0</v>
      </c>
      <c r="M132" s="14" cm="1">
        <f t="array" ref="M132">IFERROR(jauna_bil(D132,F132,J132,B132,L132),"Kluda!")</f>
        <v>4608</v>
      </c>
    </row>
    <row r="133" spans="1:13" x14ac:dyDescent="0.25">
      <c r="A133" s="12">
        <v>31659</v>
      </c>
      <c r="B133" s="13">
        <v>0</v>
      </c>
      <c r="C133" s="12"/>
      <c r="D133" s="13">
        <v>4603</v>
      </c>
      <c r="E133" s="12">
        <v>1</v>
      </c>
      <c r="F133" s="13" cm="1">
        <f t="array" ref="F133">IFERROR(atlaide(E133,B133),"Kluda!")</f>
        <v>0</v>
      </c>
      <c r="G133" s="13"/>
      <c r="H133" s="12">
        <v>15</v>
      </c>
      <c r="I133" s="12"/>
      <c r="J133" s="13" cm="1">
        <f t="array" ref="J133">palidzibas_d(H133,I133)</f>
        <v>0</v>
      </c>
      <c r="K133" s="13">
        <f>IFERROR(('Invoice Data'!$B133+'Invoice Data'!$D133-'Invoice Data'!$F133-'Invoice Data'!$J133+'Invoice Data'!$G133),"Kluda!")</f>
        <v>4603</v>
      </c>
      <c r="L133" s="13">
        <v>0</v>
      </c>
      <c r="M133" s="14" cm="1">
        <f t="array" ref="M133">IFERROR(jauna_bil(D133,F133,J133,B133,L133),"Kluda!")</f>
        <v>4603</v>
      </c>
    </row>
    <row r="134" spans="1:13" x14ac:dyDescent="0.25">
      <c r="A134" s="12">
        <v>31668</v>
      </c>
      <c r="B134" s="13">
        <v>0</v>
      </c>
      <c r="C134" s="12"/>
      <c r="D134" s="13">
        <v>3163</v>
      </c>
      <c r="E134" s="12">
        <v>1</v>
      </c>
      <c r="F134" s="13" cm="1">
        <f t="array" ref="F134">IFERROR(atlaide(E134,B134),"Kluda!")</f>
        <v>0</v>
      </c>
      <c r="G134" s="13"/>
      <c r="H134" s="12">
        <v>8</v>
      </c>
      <c r="I134" s="12"/>
      <c r="J134" s="13" cm="1">
        <f t="array" ref="J134">palidzibas_d(H134,I134)</f>
        <v>0</v>
      </c>
      <c r="K134" s="13">
        <f>IFERROR(('Invoice Data'!$B134+'Invoice Data'!$D134-'Invoice Data'!$F134-'Invoice Data'!$J134+'Invoice Data'!$G134),"Kluda!")</f>
        <v>3163</v>
      </c>
      <c r="L134" s="13">
        <v>0</v>
      </c>
      <c r="M134" s="14" cm="1">
        <f t="array" ref="M134">IFERROR(jauna_bil(D134,F134,J134,B134,L134),"Kluda!")</f>
        <v>3163</v>
      </c>
    </row>
    <row r="135" spans="1:13" x14ac:dyDescent="0.25">
      <c r="A135" s="12">
        <v>31677</v>
      </c>
      <c r="B135" s="13">
        <v>0</v>
      </c>
      <c r="C135" s="12"/>
      <c r="D135" s="13">
        <v>5026</v>
      </c>
      <c r="E135" s="12">
        <v>1</v>
      </c>
      <c r="F135" s="13" cm="1">
        <f t="array" ref="F135">IFERROR(atlaide(E135,B135),"Kluda!")</f>
        <v>0</v>
      </c>
      <c r="G135" s="13"/>
      <c r="H135" s="12">
        <v>6</v>
      </c>
      <c r="I135" s="12"/>
      <c r="J135" s="13" cm="1">
        <f t="array" ref="J135">palidzibas_d(H135,I135)</f>
        <v>0</v>
      </c>
      <c r="K135" s="13">
        <f>IFERROR(('Invoice Data'!$B135+'Invoice Data'!$D135-'Invoice Data'!$F135-'Invoice Data'!$J135+'Invoice Data'!$G135),"Kluda!")</f>
        <v>5026</v>
      </c>
      <c r="L135" s="13">
        <v>0</v>
      </c>
      <c r="M135" s="14" cm="1">
        <f t="array" ref="M135">IFERROR(jauna_bil(D135,F135,J135,B135,L135),"Kluda!")</f>
        <v>5026</v>
      </c>
    </row>
    <row r="136" spans="1:13" x14ac:dyDescent="0.25">
      <c r="A136" s="12">
        <v>31686</v>
      </c>
      <c r="B136" s="13">
        <v>0</v>
      </c>
      <c r="C136" s="12"/>
      <c r="D136" s="13">
        <v>9574</v>
      </c>
      <c r="E136" s="12">
        <v>2</v>
      </c>
      <c r="F136" s="13" cm="1">
        <f t="array" ref="F136">IFERROR(atlaide(E136,B136),"Kluda!")</f>
        <v>0</v>
      </c>
      <c r="G136" s="13"/>
      <c r="H136" s="12">
        <v>12</v>
      </c>
      <c r="I136" s="12"/>
      <c r="J136" s="13" cm="1">
        <f t="array" ref="J136">palidzibas_d(H136,I136)</f>
        <v>0</v>
      </c>
      <c r="K136" s="13">
        <f>IFERROR(('Invoice Data'!$B136+'Invoice Data'!$D136-'Invoice Data'!$F136-'Invoice Data'!$J136+'Invoice Data'!$G136),"Kluda!")</f>
        <v>9574</v>
      </c>
      <c r="L136" s="13">
        <v>0</v>
      </c>
      <c r="M136" s="14" cm="1">
        <f t="array" ref="M136">IFERROR(jauna_bil(D136,F136,J136,B136,L136),"Kluda!")</f>
        <v>9574</v>
      </c>
    </row>
    <row r="137" spans="1:13" x14ac:dyDescent="0.25">
      <c r="A137" s="12">
        <v>31695</v>
      </c>
      <c r="B137" s="13">
        <v>0</v>
      </c>
      <c r="C137" s="12"/>
      <c r="D137" s="13">
        <v>8555</v>
      </c>
      <c r="E137" s="12">
        <v>2</v>
      </c>
      <c r="F137" s="13" cm="1">
        <f t="array" ref="F137">IFERROR(atlaide(E137,B137),"Kluda!")</f>
        <v>0</v>
      </c>
      <c r="G137" s="13"/>
      <c r="H137" s="12">
        <v>14</v>
      </c>
      <c r="I137" s="12"/>
      <c r="J137" s="13" cm="1">
        <f t="array" ref="J137">palidzibas_d(H137,I137)</f>
        <v>0</v>
      </c>
      <c r="K137" s="13">
        <f>IFERROR(('Invoice Data'!$B137+'Invoice Data'!$D137-'Invoice Data'!$F137-'Invoice Data'!$J137+'Invoice Data'!$G137),"Kluda!")</f>
        <v>8555</v>
      </c>
      <c r="L137" s="13">
        <v>0</v>
      </c>
      <c r="M137" s="14" cm="1">
        <f t="array" ref="M137">IFERROR(jauna_bil(D137,F137,J137,B137,L137),"Kluda!")</f>
        <v>8555</v>
      </c>
    </row>
    <row r="138" spans="1:13" x14ac:dyDescent="0.25">
      <c r="A138" s="12">
        <v>31702</v>
      </c>
      <c r="B138" s="13">
        <v>0</v>
      </c>
      <c r="C138" s="12"/>
      <c r="D138" s="13">
        <v>4616</v>
      </c>
      <c r="E138" s="12">
        <v>1</v>
      </c>
      <c r="F138" s="13" cm="1">
        <f t="array" ref="F138">IFERROR(atlaide(E138,B138),"Kluda!")</f>
        <v>0</v>
      </c>
      <c r="G138" s="13"/>
      <c r="H138" s="12">
        <v>14</v>
      </c>
      <c r="I138" s="12"/>
      <c r="J138" s="13" cm="1">
        <f t="array" ref="J138">palidzibas_d(H138,I138)</f>
        <v>0</v>
      </c>
      <c r="K138" s="13">
        <f>IFERROR(('Invoice Data'!$B138+'Invoice Data'!$D138-'Invoice Data'!$F138-'Invoice Data'!$J138+'Invoice Data'!$G138),"Kluda!")</f>
        <v>4616</v>
      </c>
      <c r="L138" s="13">
        <v>0</v>
      </c>
      <c r="M138" s="14" cm="1">
        <f t="array" ref="M138">IFERROR(jauna_bil(D138,F138,J138,B138,L138),"Kluda!")</f>
        <v>4616</v>
      </c>
    </row>
    <row r="139" spans="1:13" x14ac:dyDescent="0.25">
      <c r="A139" s="12">
        <v>31711</v>
      </c>
      <c r="B139" s="13">
        <v>0</v>
      </c>
      <c r="C139" s="12"/>
      <c r="D139" s="13">
        <v>3695</v>
      </c>
      <c r="E139" s="12">
        <v>1</v>
      </c>
      <c r="F139" s="13" cm="1">
        <f t="array" ref="F139">IFERROR(atlaide(E139,B139),"Kluda!")</f>
        <v>0</v>
      </c>
      <c r="G139" s="13"/>
      <c r="H139" s="12">
        <v>9</v>
      </c>
      <c r="I139" s="12"/>
      <c r="J139" s="13" cm="1">
        <f t="array" ref="J139">palidzibas_d(H139,I139)</f>
        <v>0</v>
      </c>
      <c r="K139" s="13">
        <f>IFERROR(('Invoice Data'!$B139+'Invoice Data'!$D139-'Invoice Data'!$F139-'Invoice Data'!$J139+'Invoice Data'!$G139),"Kluda!")</f>
        <v>3695</v>
      </c>
      <c r="L139" s="13">
        <v>0</v>
      </c>
      <c r="M139" s="14" cm="1">
        <f t="array" ref="M139">IFERROR(jauna_bil(D139,F139,J139,B139,L139),"Kluda!")</f>
        <v>3695</v>
      </c>
    </row>
    <row r="140" spans="1:13" x14ac:dyDescent="0.25">
      <c r="A140" s="12">
        <v>31720</v>
      </c>
      <c r="B140" s="13">
        <v>0</v>
      </c>
      <c r="C140" s="12"/>
      <c r="D140" s="13">
        <v>3519</v>
      </c>
      <c r="E140" s="12">
        <v>1</v>
      </c>
      <c r="F140" s="13" cm="1">
        <f t="array" ref="F140">IFERROR(atlaide(E140,B140),"Kluda!")</f>
        <v>0</v>
      </c>
      <c r="G140" s="13"/>
      <c r="H140" s="12">
        <v>15</v>
      </c>
      <c r="I140" s="12"/>
      <c r="J140" s="13" cm="1">
        <f t="array" ref="J140">palidzibas_d(H140,I140)</f>
        <v>0</v>
      </c>
      <c r="K140" s="13">
        <f>IFERROR(('Invoice Data'!$B140+'Invoice Data'!$D140-'Invoice Data'!$F140-'Invoice Data'!$J140+'Invoice Data'!$G140),"Kluda!")</f>
        <v>3519</v>
      </c>
      <c r="L140" s="13">
        <v>0</v>
      </c>
      <c r="M140" s="14" cm="1">
        <f t="array" ref="M140">IFERROR(jauna_bil(D140,F140,J140,B140,L140),"Kluda!")</f>
        <v>3519</v>
      </c>
    </row>
    <row r="141" spans="1:13" x14ac:dyDescent="0.25">
      <c r="A141" s="12">
        <v>31739</v>
      </c>
      <c r="B141" s="13">
        <v>0</v>
      </c>
      <c r="C141" s="12"/>
      <c r="D141" s="13">
        <v>3812</v>
      </c>
      <c r="E141" s="12">
        <v>1</v>
      </c>
      <c r="F141" s="13" cm="1">
        <f t="array" ref="F141">IFERROR(atlaide(E141,B141),"Kluda!")</f>
        <v>0</v>
      </c>
      <c r="G141" s="13"/>
      <c r="H141" s="12">
        <v>16</v>
      </c>
      <c r="I141" s="12"/>
      <c r="J141" s="13" cm="1">
        <f t="array" ref="J141">palidzibas_d(H141,I141)</f>
        <v>0</v>
      </c>
      <c r="K141" s="13">
        <f>IFERROR(('Invoice Data'!$B141+'Invoice Data'!$D141-'Invoice Data'!$F141-'Invoice Data'!$J141+'Invoice Data'!$G141),"Kluda!")</f>
        <v>3812</v>
      </c>
      <c r="L141" s="13">
        <v>0</v>
      </c>
      <c r="M141" s="14" cm="1">
        <f t="array" ref="M141">IFERROR(jauna_bil(D141,F141,J141,B141,L141),"Kluda!")</f>
        <v>3812</v>
      </c>
    </row>
    <row r="142" spans="1:13" x14ac:dyDescent="0.25">
      <c r="A142" s="12">
        <v>31748</v>
      </c>
      <c r="B142" s="13">
        <v>0</v>
      </c>
      <c r="C142" s="12"/>
      <c r="D142" s="13">
        <v>3936</v>
      </c>
      <c r="E142" s="12">
        <v>1</v>
      </c>
      <c r="F142" s="13" cm="1">
        <f t="array" ref="F142">IFERROR(atlaide(E142,B142),"Kluda!")</f>
        <v>0</v>
      </c>
      <c r="G142" s="13"/>
      <c r="H142" s="12">
        <v>1</v>
      </c>
      <c r="I142" s="12"/>
      <c r="J142" s="13" cm="1">
        <f t="array" ref="J142">palidzibas_d(H142,I142)</f>
        <v>0</v>
      </c>
      <c r="K142" s="13">
        <f>IFERROR(('Invoice Data'!$B142+'Invoice Data'!$D142-'Invoice Data'!$F142-'Invoice Data'!$J142+'Invoice Data'!$G142),"Kluda!")</f>
        <v>3936</v>
      </c>
      <c r="L142" s="13">
        <v>0</v>
      </c>
      <c r="M142" s="14" cm="1">
        <f t="array" ref="M142">IFERROR(jauna_bil(D142,F142,J142,B142,L142),"Kluda!")</f>
        <v>3936</v>
      </c>
    </row>
    <row r="143" spans="1:13" x14ac:dyDescent="0.25">
      <c r="A143" s="12">
        <v>31757</v>
      </c>
      <c r="B143" s="13">
        <v>0</v>
      </c>
      <c r="C143" s="12"/>
      <c r="D143" s="13">
        <v>4109</v>
      </c>
      <c r="E143" s="12">
        <v>9</v>
      </c>
      <c r="F143" s="13" cm="1">
        <f t="array" ref="F143">IFERROR(atlaide(E143,B143),"Kluda!")</f>
        <v>0</v>
      </c>
      <c r="G143" s="13"/>
      <c r="H143" s="12">
        <v>14</v>
      </c>
      <c r="I143" s="12"/>
      <c r="J143" s="13" cm="1">
        <f t="array" ref="J143">palidzibas_d(H143,I143)</f>
        <v>0</v>
      </c>
      <c r="K143" s="13">
        <f>IFERROR(('Invoice Data'!$B143+'Invoice Data'!$D143-'Invoice Data'!$F143-'Invoice Data'!$J143+'Invoice Data'!$G143),"Kluda!")</f>
        <v>4109</v>
      </c>
      <c r="L143" s="13">
        <v>0</v>
      </c>
      <c r="M143" s="14" cm="1">
        <f t="array" ref="M143">IFERROR(jauna_bil(D143,F143,J143,B143,L143),"Kluda!")</f>
        <v>4109</v>
      </c>
    </row>
    <row r="144" spans="1:13" x14ac:dyDescent="0.25">
      <c r="A144" s="12">
        <v>31766</v>
      </c>
      <c r="B144" s="13">
        <v>0</v>
      </c>
      <c r="C144" s="12"/>
      <c r="D144" s="13">
        <v>4338</v>
      </c>
      <c r="E144" s="12">
        <v>1</v>
      </c>
      <c r="F144" s="13" cm="1">
        <f t="array" ref="F144">IFERROR(atlaide(E144,B144),"Kluda!")</f>
        <v>0</v>
      </c>
      <c r="G144" s="13"/>
      <c r="H144" s="12">
        <v>13</v>
      </c>
      <c r="I144" s="12"/>
      <c r="J144" s="13" cm="1">
        <f t="array" ref="J144">palidzibas_d(H144,I144)</f>
        <v>0</v>
      </c>
      <c r="K144" s="13">
        <f>IFERROR(('Invoice Data'!$B144+'Invoice Data'!$D144-'Invoice Data'!$F144-'Invoice Data'!$J144+'Invoice Data'!$G144),"Kluda!")</f>
        <v>4338</v>
      </c>
      <c r="L144" s="13">
        <v>0</v>
      </c>
      <c r="M144" s="14" cm="1">
        <f t="array" ref="M144">IFERROR(jauna_bil(D144,F144,J144,B144,L144),"Kluda!")</f>
        <v>4338</v>
      </c>
    </row>
    <row r="145" spans="1:13" x14ac:dyDescent="0.25">
      <c r="A145" s="12">
        <v>31775</v>
      </c>
      <c r="B145" s="13">
        <v>0</v>
      </c>
      <c r="C145" s="12"/>
      <c r="D145" s="13">
        <v>9032</v>
      </c>
      <c r="E145" s="12">
        <v>2</v>
      </c>
      <c r="F145" s="13" cm="1">
        <f t="array" ref="F145">IFERROR(atlaide(E145,B145),"Kluda!")</f>
        <v>0</v>
      </c>
      <c r="G145" s="13"/>
      <c r="H145" s="12">
        <v>12</v>
      </c>
      <c r="I145" s="12"/>
      <c r="J145" s="13" cm="1">
        <f t="array" ref="J145">palidzibas_d(H145,I145)</f>
        <v>0</v>
      </c>
      <c r="K145" s="13">
        <f>IFERROR(('Invoice Data'!$B145+'Invoice Data'!$D145-'Invoice Data'!$F145-'Invoice Data'!$J145+'Invoice Data'!$G145),"Kluda!")</f>
        <v>9032</v>
      </c>
      <c r="L145" s="13">
        <v>0</v>
      </c>
      <c r="M145" s="14" cm="1">
        <f t="array" ref="M145">IFERROR(jauna_bil(D145,F145,J145,B145,L145),"Kluda!")</f>
        <v>9032</v>
      </c>
    </row>
    <row r="146" spans="1:13" x14ac:dyDescent="0.25">
      <c r="A146" s="12">
        <v>31784</v>
      </c>
      <c r="B146" s="13">
        <v>0</v>
      </c>
      <c r="C146" s="12"/>
      <c r="D146" s="13">
        <v>10019</v>
      </c>
      <c r="E146" s="12">
        <v>2</v>
      </c>
      <c r="F146" s="13" cm="1">
        <f t="array" ref="F146">IFERROR(atlaide(E146,B146),"Kluda!")</f>
        <v>0</v>
      </c>
      <c r="G146" s="13"/>
      <c r="H146" s="12">
        <v>1</v>
      </c>
      <c r="I146" s="12"/>
      <c r="J146" s="13" cm="1">
        <f t="array" ref="J146">palidzibas_d(H146,I146)</f>
        <v>0</v>
      </c>
      <c r="K146" s="13">
        <f>IFERROR(('Invoice Data'!$B146+'Invoice Data'!$D146-'Invoice Data'!$F146-'Invoice Data'!$J146+'Invoice Data'!$G146),"Kluda!")</f>
        <v>10019</v>
      </c>
      <c r="L146" s="13">
        <v>0</v>
      </c>
      <c r="M146" s="14" cm="1">
        <f t="array" ref="M146">IFERROR(jauna_bil(D146,F146,J146,B146,L146),"Kluda!")</f>
        <v>10019</v>
      </c>
    </row>
    <row r="147" spans="1:13" x14ac:dyDescent="0.25">
      <c r="A147" s="12">
        <v>31793</v>
      </c>
      <c r="B147" s="13">
        <v>0</v>
      </c>
      <c r="C147" s="12"/>
      <c r="D147" s="13">
        <v>5304</v>
      </c>
      <c r="E147" s="12">
        <v>1</v>
      </c>
      <c r="F147" s="13" cm="1">
        <f t="array" ref="F147">IFERROR(atlaide(E147,B147),"Kluda!")</f>
        <v>0</v>
      </c>
      <c r="G147" s="13"/>
      <c r="H147" s="12">
        <v>15</v>
      </c>
      <c r="I147" s="12"/>
      <c r="J147" s="13" cm="1">
        <f t="array" ref="J147">palidzibas_d(H147,I147)</f>
        <v>0</v>
      </c>
      <c r="K147" s="13">
        <f>IFERROR(('Invoice Data'!$B147+'Invoice Data'!$D147-'Invoice Data'!$F147-'Invoice Data'!$J147+'Invoice Data'!$G147),"Kluda!")</f>
        <v>5304</v>
      </c>
      <c r="L147" s="13">
        <v>0</v>
      </c>
      <c r="M147" s="14" cm="1">
        <f t="array" ref="M147">IFERROR(jauna_bil(D147,F147,J147,B147,L147),"Kluda!")</f>
        <v>5304</v>
      </c>
    </row>
    <row r="148" spans="1:13" x14ac:dyDescent="0.25">
      <c r="A148" s="12">
        <v>31800</v>
      </c>
      <c r="B148" s="13">
        <v>0</v>
      </c>
      <c r="C148" s="12"/>
      <c r="D148" s="13">
        <v>6745</v>
      </c>
      <c r="E148" s="12">
        <v>2</v>
      </c>
      <c r="F148" s="13" cm="1">
        <f t="array" ref="F148">IFERROR(atlaide(E148,B148),"Kluda!")</f>
        <v>0</v>
      </c>
      <c r="G148" s="13"/>
      <c r="H148" s="12">
        <v>1</v>
      </c>
      <c r="I148" s="12"/>
      <c r="J148" s="13" cm="1">
        <f t="array" ref="J148">palidzibas_d(H148,I148)</f>
        <v>0</v>
      </c>
      <c r="K148" s="13">
        <f>IFERROR(('Invoice Data'!$B148+'Invoice Data'!$D148-'Invoice Data'!$F148-'Invoice Data'!$J148+'Invoice Data'!$G148),"Kluda!")</f>
        <v>6745</v>
      </c>
      <c r="L148" s="13">
        <v>0</v>
      </c>
      <c r="M148" s="14" cm="1">
        <f t="array" ref="M148">IFERROR(jauna_bil(D148,F148,J148,B148,L148),"Kluda!")</f>
        <v>6745</v>
      </c>
    </row>
    <row r="149" spans="1:13" x14ac:dyDescent="0.25">
      <c r="A149" s="12">
        <v>31819</v>
      </c>
      <c r="B149" s="13">
        <v>0</v>
      </c>
      <c r="C149" s="12"/>
      <c r="D149" s="13">
        <v>5310</v>
      </c>
      <c r="E149" s="12">
        <v>1</v>
      </c>
      <c r="F149" s="13" cm="1">
        <f t="array" ref="F149">IFERROR(atlaide(E149,B149),"Kluda!")</f>
        <v>0</v>
      </c>
      <c r="G149" s="13"/>
      <c r="H149" s="12">
        <v>15</v>
      </c>
      <c r="I149" s="12"/>
      <c r="J149" s="13" cm="1">
        <f t="array" ref="J149">palidzibas_d(H149,I149)</f>
        <v>0</v>
      </c>
      <c r="K149" s="13">
        <f>IFERROR(('Invoice Data'!$B149+'Invoice Data'!$D149-'Invoice Data'!$F149-'Invoice Data'!$J149+'Invoice Data'!$G149),"Kluda!")</f>
        <v>5310</v>
      </c>
      <c r="L149" s="13">
        <v>0</v>
      </c>
      <c r="M149" s="14" cm="1">
        <f t="array" ref="M149">IFERROR(jauna_bil(D149,F149,J149,B149,L149),"Kluda!")</f>
        <v>5310</v>
      </c>
    </row>
    <row r="150" spans="1:13" x14ac:dyDescent="0.25">
      <c r="A150" s="12">
        <v>31828</v>
      </c>
      <c r="B150" s="13">
        <v>0</v>
      </c>
      <c r="C150" s="12"/>
      <c r="D150" s="13">
        <v>3827</v>
      </c>
      <c r="E150" s="12">
        <v>1</v>
      </c>
      <c r="F150" s="13" cm="1">
        <f t="array" ref="F150">IFERROR(atlaide(E150,B150),"Kluda!")</f>
        <v>0</v>
      </c>
      <c r="G150" s="13"/>
      <c r="H150" s="12">
        <v>0</v>
      </c>
      <c r="I150" s="12"/>
      <c r="J150" s="13" cm="1">
        <f t="array" ref="J150">palidzibas_d(H150,I150)</f>
        <v>0</v>
      </c>
      <c r="K150" s="13">
        <f>IFERROR(('Invoice Data'!$B150+'Invoice Data'!$D150-'Invoice Data'!$F150-'Invoice Data'!$J150+'Invoice Data'!$G150),"Kluda!")</f>
        <v>3827</v>
      </c>
      <c r="L150" s="13">
        <v>0</v>
      </c>
      <c r="M150" s="14" cm="1">
        <f t="array" ref="M150">IFERROR(jauna_bil(D150,F150,J150,B150,L150),"Kluda!")</f>
        <v>3827</v>
      </c>
    </row>
    <row r="151" spans="1:13" x14ac:dyDescent="0.25">
      <c r="A151" s="12">
        <v>31837</v>
      </c>
      <c r="B151" s="13">
        <v>0</v>
      </c>
      <c r="C151" s="12"/>
      <c r="D151" s="13">
        <v>4059</v>
      </c>
      <c r="E151" s="12">
        <v>1</v>
      </c>
      <c r="F151" s="13" cm="1">
        <f t="array" ref="F151">IFERROR(atlaide(E151,B151),"Kluda!")</f>
        <v>0</v>
      </c>
      <c r="G151" s="13"/>
      <c r="H151" s="12">
        <v>8</v>
      </c>
      <c r="I151" s="12"/>
      <c r="J151" s="13" cm="1">
        <f t="array" ref="J151">palidzibas_d(H151,I151)</f>
        <v>0</v>
      </c>
      <c r="K151" s="13">
        <f>IFERROR(('Invoice Data'!$B151+'Invoice Data'!$D151-'Invoice Data'!$F151-'Invoice Data'!$J151+'Invoice Data'!$G151),"Kluda!")</f>
        <v>4059</v>
      </c>
      <c r="L151" s="13">
        <v>0</v>
      </c>
      <c r="M151" s="14" cm="1">
        <f t="array" ref="M151">IFERROR(jauna_bil(D151,F151,J151,B151,L151),"Kluda!")</f>
        <v>4059</v>
      </c>
    </row>
    <row r="152" spans="1:13" x14ac:dyDescent="0.25">
      <c r="A152" s="12">
        <v>31846</v>
      </c>
      <c r="B152" s="13">
        <v>0</v>
      </c>
      <c r="C152" s="12"/>
      <c r="D152" s="13">
        <v>5155</v>
      </c>
      <c r="E152" s="12">
        <v>1</v>
      </c>
      <c r="F152" s="13" cm="1">
        <f t="array" ref="F152">IFERROR(atlaide(E152,B152),"Kluda!")</f>
        <v>0</v>
      </c>
      <c r="G152" s="13"/>
      <c r="H152" s="12">
        <v>13</v>
      </c>
      <c r="I152" s="12"/>
      <c r="J152" s="13" cm="1">
        <f t="array" ref="J152">palidzibas_d(H152,I152)</f>
        <v>0</v>
      </c>
      <c r="K152" s="13">
        <f>IFERROR(('Invoice Data'!$B152+'Invoice Data'!$D152-'Invoice Data'!$F152-'Invoice Data'!$J152+'Invoice Data'!$G152),"Kluda!")</f>
        <v>5155</v>
      </c>
      <c r="L152" s="13">
        <v>0</v>
      </c>
      <c r="M152" s="14" cm="1">
        <f t="array" ref="M152">IFERROR(jauna_bil(D152,F152,J152,B152,L152),"Kluda!")</f>
        <v>5155</v>
      </c>
    </row>
    <row r="153" spans="1:13" x14ac:dyDescent="0.25">
      <c r="A153" s="12">
        <v>31855</v>
      </c>
      <c r="B153" s="13">
        <v>0</v>
      </c>
      <c r="C153" s="12"/>
      <c r="D153" s="13">
        <v>10203</v>
      </c>
      <c r="E153" s="12">
        <v>3</v>
      </c>
      <c r="F153" s="13" cm="1">
        <f t="array" ref="F153">IFERROR(atlaide(E153,B153),"Kluda!")</f>
        <v>0</v>
      </c>
      <c r="G153" s="13"/>
      <c r="H153" s="12">
        <v>6</v>
      </c>
      <c r="I153" s="12"/>
      <c r="J153" s="13" cm="1">
        <f t="array" ref="J153">palidzibas_d(H153,I153)</f>
        <v>0</v>
      </c>
      <c r="K153" s="13">
        <f>IFERROR(('Invoice Data'!$B153+'Invoice Data'!$D153-'Invoice Data'!$F153-'Invoice Data'!$J153+'Invoice Data'!$G153),"Kluda!")</f>
        <v>10203</v>
      </c>
      <c r="L153" s="13">
        <v>0</v>
      </c>
      <c r="M153" s="14" cm="1">
        <f t="array" ref="M153">IFERROR(jauna_bil(D153,F153,J153,B153,L153),"Kluda!")</f>
        <v>10203</v>
      </c>
    </row>
    <row r="154" spans="1:13" x14ac:dyDescent="0.25">
      <c r="A154" s="12">
        <v>31864</v>
      </c>
      <c r="B154" s="13">
        <v>0</v>
      </c>
      <c r="C154" s="12"/>
      <c r="D154" s="13">
        <v>10113</v>
      </c>
      <c r="E154" s="12">
        <v>2</v>
      </c>
      <c r="F154" s="13" cm="1">
        <f t="array" ref="F154">IFERROR(atlaide(E154,B154),"Kluda!")</f>
        <v>0</v>
      </c>
      <c r="G154" s="13"/>
      <c r="H154" s="12">
        <v>6</v>
      </c>
      <c r="I154" s="12"/>
      <c r="J154" s="13" cm="1">
        <f t="array" ref="J154">palidzibas_d(H154,I154)</f>
        <v>0</v>
      </c>
      <c r="K154" s="13">
        <f>IFERROR(('Invoice Data'!$B154+'Invoice Data'!$D154-'Invoice Data'!$F154-'Invoice Data'!$J154+'Invoice Data'!$G154),"Kluda!")</f>
        <v>10113</v>
      </c>
      <c r="L154" s="13">
        <v>0</v>
      </c>
      <c r="M154" s="14" cm="1">
        <f t="array" ref="M154">IFERROR(jauna_bil(D154,F154,J154,B154,L154),"Kluda!")</f>
        <v>10113</v>
      </c>
    </row>
    <row r="155" spans="1:13" x14ac:dyDescent="0.25">
      <c r="A155" s="12">
        <v>31873</v>
      </c>
      <c r="B155" s="13">
        <v>0</v>
      </c>
      <c r="C155" s="12"/>
      <c r="D155" s="13">
        <v>3792</v>
      </c>
      <c r="E155" s="12">
        <v>1</v>
      </c>
      <c r="F155" s="13" cm="1">
        <f t="array" ref="F155">IFERROR(atlaide(E155,B155),"Kluda!")</f>
        <v>0</v>
      </c>
      <c r="G155" s="13"/>
      <c r="H155" s="12">
        <v>7</v>
      </c>
      <c r="I155" s="12"/>
      <c r="J155" s="13" cm="1">
        <f t="array" ref="J155">palidzibas_d(H155,I155)</f>
        <v>0</v>
      </c>
      <c r="K155" s="13">
        <f>IFERROR(('Invoice Data'!$B155+'Invoice Data'!$D155-'Invoice Data'!$F155-'Invoice Data'!$J155+'Invoice Data'!$G155),"Kluda!")</f>
        <v>3792</v>
      </c>
      <c r="L155" s="13">
        <v>0</v>
      </c>
      <c r="M155" s="14" cm="1">
        <f t="array" ref="M155">IFERROR(jauna_bil(D155,F155,J155,B155,L155),"Kluda!")</f>
        <v>3792</v>
      </c>
    </row>
    <row r="156" spans="1:13" x14ac:dyDescent="0.25">
      <c r="A156" s="12">
        <v>31882</v>
      </c>
      <c r="B156" s="13">
        <v>0</v>
      </c>
      <c r="C156" s="12"/>
      <c r="D156" s="13">
        <v>8760</v>
      </c>
      <c r="E156" s="12">
        <v>2</v>
      </c>
      <c r="F156" s="13" cm="1">
        <f t="array" ref="F156">IFERROR(atlaide(E156,B156),"Kluda!")</f>
        <v>0</v>
      </c>
      <c r="G156" s="13"/>
      <c r="H156" s="12">
        <v>11</v>
      </c>
      <c r="I156" s="12"/>
      <c r="J156" s="13" cm="1">
        <f t="array" ref="J156">palidzibas_d(H156,I156)</f>
        <v>0</v>
      </c>
      <c r="K156" s="13">
        <f>IFERROR(('Invoice Data'!$B156+'Invoice Data'!$D156-'Invoice Data'!$F156-'Invoice Data'!$J156+'Invoice Data'!$G156),"Kluda!")</f>
        <v>8760</v>
      </c>
      <c r="L156" s="13">
        <v>0</v>
      </c>
      <c r="M156" s="14" cm="1">
        <f t="array" ref="M156">IFERROR(jauna_bil(D156,F156,J156,B156,L156),"Kluda!")</f>
        <v>8760</v>
      </c>
    </row>
    <row r="157" spans="1:13" x14ac:dyDescent="0.25">
      <c r="A157" s="12">
        <v>31891</v>
      </c>
      <c r="B157" s="13">
        <v>0</v>
      </c>
      <c r="C157" s="12"/>
      <c r="D157" s="13">
        <v>7547</v>
      </c>
      <c r="E157" s="12">
        <v>2</v>
      </c>
      <c r="F157" s="13" cm="1">
        <f t="array" ref="F157">IFERROR(atlaide(E157,B157),"Kluda!")</f>
        <v>0</v>
      </c>
      <c r="G157" s="13"/>
      <c r="H157" s="12">
        <v>7</v>
      </c>
      <c r="I157" s="12"/>
      <c r="J157" s="13" cm="1">
        <f t="array" ref="J157">palidzibas_d(H157,I157)</f>
        <v>0</v>
      </c>
      <c r="K157" s="13">
        <f>IFERROR(('Invoice Data'!$B157+'Invoice Data'!$D157-'Invoice Data'!$F157-'Invoice Data'!$J157+'Invoice Data'!$G157),"Kluda!")</f>
        <v>7547</v>
      </c>
      <c r="L157" s="13">
        <v>0</v>
      </c>
      <c r="M157" s="14" cm="1">
        <f t="array" ref="M157">IFERROR(jauna_bil(D157,F157,J157,B157,L157),"Kluda!")</f>
        <v>7547</v>
      </c>
    </row>
    <row r="158" spans="1:13" x14ac:dyDescent="0.25">
      <c r="A158" s="12">
        <v>31908</v>
      </c>
      <c r="B158" s="13">
        <v>0</v>
      </c>
      <c r="C158" s="12"/>
      <c r="D158" s="13">
        <v>8869</v>
      </c>
      <c r="E158" s="12">
        <v>2</v>
      </c>
      <c r="F158" s="13" cm="1">
        <f t="array" ref="F158">IFERROR(atlaide(E158,B158),"Kluda!")</f>
        <v>0</v>
      </c>
      <c r="G158" s="13"/>
      <c r="H158" s="12">
        <v>14</v>
      </c>
      <c r="I158" s="12"/>
      <c r="J158" s="13" cm="1">
        <f t="array" ref="J158">palidzibas_d(H158,I158)</f>
        <v>0</v>
      </c>
      <c r="K158" s="13">
        <f>IFERROR(('Invoice Data'!$B158+'Invoice Data'!$D158-'Invoice Data'!$F158-'Invoice Data'!$J158+'Invoice Data'!$G158),"Kluda!")</f>
        <v>8869</v>
      </c>
      <c r="L158" s="13">
        <v>0</v>
      </c>
      <c r="M158" s="14" cm="1">
        <f t="array" ref="M158">IFERROR(jauna_bil(D158,F158,J158,B158,L158),"Kluda!")</f>
        <v>8869</v>
      </c>
    </row>
    <row r="159" spans="1:13" x14ac:dyDescent="0.25">
      <c r="A159" s="12">
        <v>31917</v>
      </c>
      <c r="B159" s="13">
        <v>0</v>
      </c>
      <c r="C159" s="12"/>
      <c r="D159" s="13">
        <v>3678</v>
      </c>
      <c r="E159" s="12">
        <v>1</v>
      </c>
      <c r="F159" s="13" cm="1">
        <f t="array" ref="F159">IFERROR(atlaide(E159,B159),"Kluda!")</f>
        <v>0</v>
      </c>
      <c r="G159" s="13"/>
      <c r="H159" s="12">
        <v>10</v>
      </c>
      <c r="I159" s="12"/>
      <c r="J159" s="13" cm="1">
        <f t="array" ref="J159">palidzibas_d(H159,I159)</f>
        <v>0</v>
      </c>
      <c r="K159" s="13">
        <f>IFERROR(('Invoice Data'!$B159+'Invoice Data'!$D159-'Invoice Data'!$F159-'Invoice Data'!$J159+'Invoice Data'!$G159),"Kluda!")</f>
        <v>3678</v>
      </c>
      <c r="L159" s="13">
        <v>0</v>
      </c>
      <c r="M159" s="14" cm="1">
        <f t="array" ref="M159">IFERROR(jauna_bil(D159,F159,J159,B159,L159),"Kluda!")</f>
        <v>3678</v>
      </c>
    </row>
    <row r="160" spans="1:13" x14ac:dyDescent="0.25">
      <c r="A160" s="12">
        <v>31926</v>
      </c>
      <c r="B160" s="13">
        <v>0</v>
      </c>
      <c r="C160" s="12"/>
      <c r="D160" s="13">
        <v>3876</v>
      </c>
      <c r="E160" s="12">
        <v>1</v>
      </c>
      <c r="F160" s="13" cm="1">
        <f t="array" ref="F160">IFERROR(atlaide(E160,B160),"Kluda!")</f>
        <v>0</v>
      </c>
      <c r="G160" s="13"/>
      <c r="H160" s="12">
        <v>10</v>
      </c>
      <c r="I160" s="12"/>
      <c r="J160" s="13" cm="1">
        <f t="array" ref="J160">palidzibas_d(H160,I160)</f>
        <v>0</v>
      </c>
      <c r="K160" s="13">
        <f>IFERROR(('Invoice Data'!$B160+'Invoice Data'!$D160-'Invoice Data'!$F160-'Invoice Data'!$J160+'Invoice Data'!$G160),"Kluda!")</f>
        <v>3876</v>
      </c>
      <c r="L160" s="13">
        <v>0</v>
      </c>
      <c r="M160" s="14" cm="1">
        <f t="array" ref="M160">IFERROR(jauna_bil(D160,F160,J160,B160,L160),"Kluda!")</f>
        <v>3876</v>
      </c>
    </row>
    <row r="161" spans="1:13" x14ac:dyDescent="0.25">
      <c r="A161" s="12">
        <v>31935</v>
      </c>
      <c r="B161" s="13">
        <v>0</v>
      </c>
      <c r="C161" s="12"/>
      <c r="D161" s="13">
        <v>7158</v>
      </c>
      <c r="E161" s="12">
        <v>2</v>
      </c>
      <c r="F161" s="13" cm="1">
        <f t="array" ref="F161">IFERROR(atlaide(E161,B161),"Kluda!")</f>
        <v>0</v>
      </c>
      <c r="G161" s="13"/>
      <c r="H161" s="12">
        <v>3</v>
      </c>
      <c r="I161" s="12"/>
      <c r="J161" s="13" cm="1">
        <f t="array" ref="J161">palidzibas_d(H161,I161)</f>
        <v>0</v>
      </c>
      <c r="K161" s="13">
        <f>IFERROR(('Invoice Data'!$B161+'Invoice Data'!$D161-'Invoice Data'!$F161-'Invoice Data'!$J161+'Invoice Data'!$G161),"Kluda!")</f>
        <v>7158</v>
      </c>
      <c r="L161" s="13">
        <v>0</v>
      </c>
      <c r="M161" s="14" cm="1">
        <f t="array" ref="M161">IFERROR(jauna_bil(D161,F161,J161,B161,L161),"Kluda!")</f>
        <v>7158</v>
      </c>
    </row>
    <row r="162" spans="1:13" x14ac:dyDescent="0.25">
      <c r="A162" s="12">
        <v>31944</v>
      </c>
      <c r="B162" s="13">
        <v>0</v>
      </c>
      <c r="C162" s="12"/>
      <c r="D162" s="13">
        <v>10229</v>
      </c>
      <c r="E162" s="12">
        <v>2</v>
      </c>
      <c r="F162" s="13" cm="1">
        <f t="array" ref="F162">IFERROR(atlaide(E162,B162),"Kluda!")</f>
        <v>0</v>
      </c>
      <c r="G162" s="13"/>
      <c r="H162" s="12">
        <v>13</v>
      </c>
      <c r="I162" s="12"/>
      <c r="J162" s="13" cm="1">
        <f t="array" ref="J162">palidzibas_d(H162,I162)</f>
        <v>0</v>
      </c>
      <c r="K162" s="13">
        <f>IFERROR(('Invoice Data'!$B162+'Invoice Data'!$D162-'Invoice Data'!$F162-'Invoice Data'!$J162+'Invoice Data'!$G162),"Kluda!")</f>
        <v>10229</v>
      </c>
      <c r="L162" s="13">
        <v>0</v>
      </c>
      <c r="M162" s="14" cm="1">
        <f t="array" ref="M162">IFERROR(jauna_bil(D162,F162,J162,B162,L162),"Kluda!")</f>
        <v>10229</v>
      </c>
    </row>
    <row r="163" spans="1:13" x14ac:dyDescent="0.25">
      <c r="A163" s="12">
        <v>31953</v>
      </c>
      <c r="B163" s="13">
        <v>0</v>
      </c>
      <c r="C163" s="12"/>
      <c r="D163" s="13">
        <v>9709</v>
      </c>
      <c r="E163" s="12">
        <v>2</v>
      </c>
      <c r="F163" s="13" cm="1">
        <f t="array" ref="F163">IFERROR(atlaide(E163,B163),"Kluda!")</f>
        <v>0</v>
      </c>
      <c r="G163" s="13"/>
      <c r="H163" s="12">
        <v>5</v>
      </c>
      <c r="I163" s="12"/>
      <c r="J163" s="13" cm="1">
        <f t="array" ref="J163">palidzibas_d(H163,I163)</f>
        <v>0</v>
      </c>
      <c r="K163" s="13">
        <f>IFERROR(('Invoice Data'!$B163+'Invoice Data'!$D163-'Invoice Data'!$F163-'Invoice Data'!$J163+'Invoice Data'!$G163),"Kluda!")</f>
        <v>9709</v>
      </c>
      <c r="L163" s="13">
        <v>0</v>
      </c>
      <c r="M163" s="14" cm="1">
        <f t="array" ref="M163">IFERROR(jauna_bil(D163,F163,J163,B163,L163),"Kluda!")</f>
        <v>9709</v>
      </c>
    </row>
    <row r="164" spans="1:13" x14ac:dyDescent="0.25">
      <c r="A164" s="12">
        <v>31962</v>
      </c>
      <c r="B164" s="13">
        <v>0</v>
      </c>
      <c r="C164" s="12"/>
      <c r="D164" s="13">
        <v>3841</v>
      </c>
      <c r="E164" s="12">
        <v>1</v>
      </c>
      <c r="F164" s="13" cm="1">
        <f t="array" ref="F164">IFERROR(atlaide(E164,B164),"Kluda!")</f>
        <v>0</v>
      </c>
      <c r="G164" s="13"/>
      <c r="H164" s="12">
        <v>4</v>
      </c>
      <c r="I164" s="12"/>
      <c r="J164" s="13" cm="1">
        <f t="array" ref="J164">palidzibas_d(H164,I164)</f>
        <v>0</v>
      </c>
      <c r="K164" s="13">
        <f>IFERROR(('Invoice Data'!$B164+'Invoice Data'!$D164-'Invoice Data'!$F164-'Invoice Data'!$J164+'Invoice Data'!$G164),"Kluda!")</f>
        <v>3841</v>
      </c>
      <c r="L164" s="13">
        <v>0</v>
      </c>
      <c r="M164" s="14" cm="1">
        <f t="array" ref="M164">IFERROR(jauna_bil(D164,F164,J164,B164,L164),"Kluda!")</f>
        <v>3841</v>
      </c>
    </row>
    <row r="165" spans="1:13" x14ac:dyDescent="0.25">
      <c r="A165" s="12">
        <v>31971</v>
      </c>
      <c r="B165" s="13">
        <v>0</v>
      </c>
      <c r="C165" s="12"/>
      <c r="D165" s="13">
        <v>4728</v>
      </c>
      <c r="E165" s="12">
        <v>1</v>
      </c>
      <c r="F165" s="13" cm="1">
        <f t="array" ref="F165">IFERROR(atlaide(E165,B165),"Kluda!")</f>
        <v>0</v>
      </c>
      <c r="G165" s="13"/>
      <c r="H165" s="12">
        <v>2</v>
      </c>
      <c r="I165" s="12"/>
      <c r="J165" s="13" cm="1">
        <f t="array" ref="J165">palidzibas_d(H165,I165)</f>
        <v>0</v>
      </c>
      <c r="K165" s="13">
        <f>IFERROR(('Invoice Data'!$B165+'Invoice Data'!$D165-'Invoice Data'!$F165-'Invoice Data'!$J165+'Invoice Data'!$G165),"Kluda!")</f>
        <v>4728</v>
      </c>
      <c r="L165" s="13">
        <v>0</v>
      </c>
      <c r="M165" s="14" cm="1">
        <f t="array" ref="M165">IFERROR(jauna_bil(D165,F165,J165,B165,L165),"Kluda!")</f>
        <v>4728</v>
      </c>
    </row>
    <row r="166" spans="1:13" x14ac:dyDescent="0.25">
      <c r="A166" s="12">
        <v>31980</v>
      </c>
      <c r="B166" s="13">
        <v>0</v>
      </c>
      <c r="C166" s="12"/>
      <c r="D166" s="13">
        <v>3970</v>
      </c>
      <c r="E166" s="12">
        <v>1</v>
      </c>
      <c r="F166" s="13" cm="1">
        <f t="array" ref="F166">IFERROR(atlaide(E166,B166),"Kluda!")</f>
        <v>0</v>
      </c>
      <c r="G166" s="13"/>
      <c r="H166" s="12">
        <v>4</v>
      </c>
      <c r="I166" s="12"/>
      <c r="J166" s="13" cm="1">
        <f t="array" ref="J166">palidzibas_d(H166,I166)</f>
        <v>0</v>
      </c>
      <c r="K166" s="13">
        <f>IFERROR(('Invoice Data'!$B166+'Invoice Data'!$D166-'Invoice Data'!$F166-'Invoice Data'!$J166+'Invoice Data'!$G166),"Kluda!")</f>
        <v>3970</v>
      </c>
      <c r="L166" s="13">
        <v>0</v>
      </c>
      <c r="M166" s="14" cm="1">
        <f t="array" ref="M166">IFERROR(jauna_bil(D166,F166,J166,B166,L166),"Kluda!")</f>
        <v>3970</v>
      </c>
    </row>
    <row r="167" spans="1:13" x14ac:dyDescent="0.25">
      <c r="A167" s="12">
        <v>31999</v>
      </c>
      <c r="B167" s="13">
        <v>0</v>
      </c>
      <c r="C167" s="12"/>
      <c r="D167" s="13">
        <v>3886</v>
      </c>
      <c r="E167" s="12">
        <v>1</v>
      </c>
      <c r="F167" s="13" cm="1">
        <f t="array" ref="F167">IFERROR(atlaide(E167,B167),"Kluda!")</f>
        <v>0</v>
      </c>
      <c r="G167" s="13"/>
      <c r="H167" s="12">
        <v>13</v>
      </c>
      <c r="I167" s="12"/>
      <c r="J167" s="13" cm="1">
        <f t="array" ref="J167">palidzibas_d(H167,I167)</f>
        <v>0</v>
      </c>
      <c r="K167" s="13">
        <f>IFERROR(('Invoice Data'!$B167+'Invoice Data'!$D167-'Invoice Data'!$F167-'Invoice Data'!$J167+'Invoice Data'!$G167),"Kluda!")</f>
        <v>3886</v>
      </c>
      <c r="L167" s="13">
        <v>0</v>
      </c>
      <c r="M167" s="14" cm="1">
        <f t="array" ref="M167">IFERROR(jauna_bil(D167,F167,J167,B167,L167),"Kluda!")</f>
        <v>3886</v>
      </c>
    </row>
    <row r="168" spans="1:13" x14ac:dyDescent="0.25">
      <c r="A168" s="12">
        <v>32006</v>
      </c>
      <c r="B168" s="13">
        <v>0</v>
      </c>
      <c r="C168" s="12"/>
      <c r="D168" s="13">
        <v>3779</v>
      </c>
      <c r="E168" s="12">
        <v>1</v>
      </c>
      <c r="F168" s="13" cm="1">
        <f t="array" ref="F168">IFERROR(atlaide(E168,B168),"Kluda!")</f>
        <v>0</v>
      </c>
      <c r="G168" s="13"/>
      <c r="H168" s="12">
        <v>0</v>
      </c>
      <c r="I168" s="12"/>
      <c r="J168" s="13" cm="1">
        <f t="array" ref="J168">palidzibas_d(H168,I168)</f>
        <v>0</v>
      </c>
      <c r="K168" s="13">
        <f>IFERROR(('Invoice Data'!$B168+'Invoice Data'!$D168-'Invoice Data'!$F168-'Invoice Data'!$J168+'Invoice Data'!$G168),"Kluda!")</f>
        <v>3779</v>
      </c>
      <c r="L168" s="13">
        <v>0</v>
      </c>
      <c r="M168" s="14" cm="1">
        <f t="array" ref="M168">IFERROR(jauna_bil(D168,F168,J168,B168,L168),"Kluda!")</f>
        <v>3779</v>
      </c>
    </row>
    <row r="169" spans="1:13" x14ac:dyDescent="0.25">
      <c r="A169" s="12">
        <v>32015</v>
      </c>
      <c r="B169" s="13">
        <v>0</v>
      </c>
      <c r="C169" s="12"/>
      <c r="D169" s="13">
        <v>8735</v>
      </c>
      <c r="E169" s="12">
        <v>2</v>
      </c>
      <c r="F169" s="13" cm="1">
        <f t="array" ref="F169">IFERROR(atlaide(E169,B169),"Kluda!")</f>
        <v>0</v>
      </c>
      <c r="G169" s="13"/>
      <c r="H169" s="12">
        <v>14</v>
      </c>
      <c r="I169" s="12"/>
      <c r="J169" s="13" cm="1">
        <f t="array" ref="J169">palidzibas_d(H169,I169)</f>
        <v>0</v>
      </c>
      <c r="K169" s="13">
        <f>IFERROR(('Invoice Data'!$B169+'Invoice Data'!$D169-'Invoice Data'!$F169-'Invoice Data'!$J169+'Invoice Data'!$G169),"Kluda!")</f>
        <v>8735</v>
      </c>
      <c r="L169" s="13">
        <v>0</v>
      </c>
      <c r="M169" s="14" cm="1">
        <f t="array" ref="M169">IFERROR(jauna_bil(D169,F169,J169,B169,L169),"Kluda!")</f>
        <v>8735</v>
      </c>
    </row>
    <row r="170" spans="1:13" x14ac:dyDescent="0.25">
      <c r="A170" s="12">
        <v>32024</v>
      </c>
      <c r="B170" s="13">
        <v>0</v>
      </c>
      <c r="C170" s="12"/>
      <c r="D170" s="13">
        <v>8270</v>
      </c>
      <c r="E170" s="12">
        <v>2</v>
      </c>
      <c r="F170" s="13" cm="1">
        <f t="array" ref="F170">IFERROR(atlaide(E170,B170),"Kluda!")</f>
        <v>0</v>
      </c>
      <c r="G170" s="13"/>
      <c r="H170" s="12">
        <v>8</v>
      </c>
      <c r="I170" s="12"/>
      <c r="J170" s="13" cm="1">
        <f t="array" ref="J170">palidzibas_d(H170,I170)</f>
        <v>0</v>
      </c>
      <c r="K170" s="13">
        <f>IFERROR(('Invoice Data'!$B170+'Invoice Data'!$D170-'Invoice Data'!$F170-'Invoice Data'!$J170+'Invoice Data'!$G170),"Kluda!")</f>
        <v>8270</v>
      </c>
      <c r="L170" s="13">
        <v>0</v>
      </c>
      <c r="M170" s="14" cm="1">
        <f t="array" ref="M170">IFERROR(jauna_bil(D170,F170,J170,B170,L170),"Kluda!")</f>
        <v>8270</v>
      </c>
    </row>
    <row r="171" spans="1:13" x14ac:dyDescent="0.25">
      <c r="A171" s="12">
        <v>32033</v>
      </c>
      <c r="B171" s="13">
        <v>0</v>
      </c>
      <c r="C171" s="12"/>
      <c r="D171" s="13">
        <v>8397</v>
      </c>
      <c r="E171" s="12">
        <v>2</v>
      </c>
      <c r="F171" s="13" cm="1">
        <f t="array" ref="F171">IFERROR(atlaide(E171,B171),"Kluda!")</f>
        <v>0</v>
      </c>
      <c r="G171" s="13"/>
      <c r="H171" s="12">
        <v>11</v>
      </c>
      <c r="I171" s="12"/>
      <c r="J171" s="13" cm="1">
        <f t="array" ref="J171">palidzibas_d(H171,I171)</f>
        <v>0</v>
      </c>
      <c r="K171" s="13">
        <f>IFERROR(('Invoice Data'!$B171+'Invoice Data'!$D171-'Invoice Data'!$F171-'Invoice Data'!$J171+'Invoice Data'!$G171),"Kluda!")</f>
        <v>8397</v>
      </c>
      <c r="L171" s="13">
        <v>0</v>
      </c>
      <c r="M171" s="14" cm="1">
        <f t="array" ref="M171">IFERROR(jauna_bil(D171,F171,J171,B171,L171),"Kluda!")</f>
        <v>8397</v>
      </c>
    </row>
    <row r="172" spans="1:13" x14ac:dyDescent="0.25">
      <c r="A172" s="12">
        <v>32051</v>
      </c>
      <c r="B172" s="13">
        <v>0</v>
      </c>
      <c r="C172" s="12"/>
      <c r="D172" s="13">
        <v>3778</v>
      </c>
      <c r="E172" s="12">
        <v>1</v>
      </c>
      <c r="F172" s="13" cm="1">
        <f t="array" ref="F172">IFERROR(atlaide(E172,B172),"Kluda!")</f>
        <v>0</v>
      </c>
      <c r="G172" s="13"/>
      <c r="H172" s="12">
        <v>12</v>
      </c>
      <c r="I172" s="12"/>
      <c r="J172" s="13" cm="1">
        <f t="array" ref="J172">palidzibas_d(H172,I172)</f>
        <v>0</v>
      </c>
      <c r="K172" s="13">
        <f>IFERROR(('Invoice Data'!$B172+'Invoice Data'!$D172-'Invoice Data'!$F172-'Invoice Data'!$J172+'Invoice Data'!$G172),"Kluda!")</f>
        <v>3778</v>
      </c>
      <c r="L172" s="13">
        <v>0</v>
      </c>
      <c r="M172" s="14" cm="1">
        <f t="array" ref="M172">IFERROR(jauna_bil(D172,F172,J172,B172,L172),"Kluda!")</f>
        <v>3778</v>
      </c>
    </row>
    <row r="173" spans="1:13" x14ac:dyDescent="0.25">
      <c r="A173" s="12">
        <v>32060</v>
      </c>
      <c r="B173" s="13">
        <v>0</v>
      </c>
      <c r="C173" s="12"/>
      <c r="D173" s="13">
        <v>3706</v>
      </c>
      <c r="E173" s="12">
        <v>1</v>
      </c>
      <c r="F173" s="13" cm="1">
        <f t="array" ref="F173">IFERROR(atlaide(E173,B173),"Kluda!")</f>
        <v>0</v>
      </c>
      <c r="G173" s="13"/>
      <c r="H173" s="12">
        <v>1</v>
      </c>
      <c r="I173" s="12"/>
      <c r="J173" s="13" cm="1">
        <f t="array" ref="J173">palidzibas_d(H173,I173)</f>
        <v>0</v>
      </c>
      <c r="K173" s="13">
        <f>IFERROR(('Invoice Data'!$B173+'Invoice Data'!$D173-'Invoice Data'!$F173-'Invoice Data'!$J173+'Invoice Data'!$G173),"Kluda!")</f>
        <v>3706</v>
      </c>
      <c r="L173" s="13">
        <v>0</v>
      </c>
      <c r="M173" s="14" cm="1">
        <f t="array" ref="M173">IFERROR(jauna_bil(D173,F173,J173,B173,L173),"Kluda!")</f>
        <v>3706</v>
      </c>
    </row>
    <row r="174" spans="1:13" x14ac:dyDescent="0.25">
      <c r="A174" s="12">
        <v>32079</v>
      </c>
      <c r="B174" s="13">
        <v>0</v>
      </c>
      <c r="C174" s="12"/>
      <c r="D174" s="13">
        <v>16614</v>
      </c>
      <c r="E174" s="12">
        <v>4</v>
      </c>
      <c r="F174" s="13" cm="1">
        <f t="array" ref="F174">IFERROR(atlaide(E174,B174),"Kluda!")</f>
        <v>0</v>
      </c>
      <c r="G174" s="13"/>
      <c r="H174" s="12">
        <v>12</v>
      </c>
      <c r="I174" s="12"/>
      <c r="J174" s="13" cm="1">
        <f t="array" ref="J174">palidzibas_d(H174,I174)</f>
        <v>0</v>
      </c>
      <c r="K174" s="13">
        <f>IFERROR(('Invoice Data'!$B174+'Invoice Data'!$D174-'Invoice Data'!$F174-'Invoice Data'!$J174+'Invoice Data'!$G174),"Kluda!")</f>
        <v>16614</v>
      </c>
      <c r="L174" s="13">
        <v>0</v>
      </c>
      <c r="M174" s="14" cm="1">
        <f t="array" ref="M174">IFERROR(jauna_bil(D174,F174,J174,B174,L174),"Kluda!")</f>
        <v>16614</v>
      </c>
    </row>
    <row r="175" spans="1:13" x14ac:dyDescent="0.25">
      <c r="A175" s="12">
        <v>32088</v>
      </c>
      <c r="B175" s="13">
        <v>0</v>
      </c>
      <c r="C175" s="12"/>
      <c r="D175" s="13">
        <v>9533</v>
      </c>
      <c r="E175" s="12">
        <v>2</v>
      </c>
      <c r="F175" s="13" cm="1">
        <f t="array" ref="F175">IFERROR(atlaide(E175,B175),"Kluda!")</f>
        <v>0</v>
      </c>
      <c r="G175" s="13"/>
      <c r="H175" s="12">
        <v>7</v>
      </c>
      <c r="I175" s="12"/>
      <c r="J175" s="13" cm="1">
        <f t="array" ref="J175">palidzibas_d(H175,I175)</f>
        <v>0</v>
      </c>
      <c r="K175" s="13">
        <f>IFERROR(('Invoice Data'!$B175+'Invoice Data'!$D175-'Invoice Data'!$F175-'Invoice Data'!$J175+'Invoice Data'!$G175),"Kluda!")</f>
        <v>9533</v>
      </c>
      <c r="L175" s="13">
        <v>0</v>
      </c>
      <c r="M175" s="14" cm="1">
        <f t="array" ref="M175">IFERROR(jauna_bil(D175,F175,J175,B175,L175),"Kluda!")</f>
        <v>9533</v>
      </c>
    </row>
    <row r="176" spans="1:13" x14ac:dyDescent="0.25">
      <c r="A176" s="12">
        <v>32097</v>
      </c>
      <c r="B176" s="13">
        <v>0</v>
      </c>
      <c r="C176" s="12"/>
      <c r="D176" s="13">
        <v>4056</v>
      </c>
      <c r="E176" s="12">
        <v>1</v>
      </c>
      <c r="F176" s="13" cm="1">
        <f t="array" ref="F176">IFERROR(atlaide(E176,B176),"Kluda!")</f>
        <v>0</v>
      </c>
      <c r="G176" s="13"/>
      <c r="H176" s="12">
        <v>15</v>
      </c>
      <c r="I176" s="12"/>
      <c r="J176" s="13" cm="1">
        <f t="array" ref="J176">palidzibas_d(H176,I176)</f>
        <v>0</v>
      </c>
      <c r="K176" s="13">
        <f>IFERROR(('Invoice Data'!$B176+'Invoice Data'!$D176-'Invoice Data'!$F176-'Invoice Data'!$J176+'Invoice Data'!$G176),"Kluda!")</f>
        <v>4056</v>
      </c>
      <c r="L176" s="13">
        <v>0</v>
      </c>
      <c r="M176" s="14" cm="1">
        <f t="array" ref="M176">IFERROR(jauna_bil(D176,F176,J176,B176,L176),"Kluda!")</f>
        <v>4056</v>
      </c>
    </row>
    <row r="177" spans="1:13" x14ac:dyDescent="0.25">
      <c r="A177" s="12">
        <v>32104</v>
      </c>
      <c r="B177" s="13">
        <v>0</v>
      </c>
      <c r="C177" s="12"/>
      <c r="D177" s="13">
        <v>8779</v>
      </c>
      <c r="E177" s="12">
        <v>2</v>
      </c>
      <c r="F177" s="13" cm="1">
        <f t="array" ref="F177">IFERROR(atlaide(E177,B177),"Kluda!")</f>
        <v>0</v>
      </c>
      <c r="G177" s="13"/>
      <c r="H177" s="12">
        <v>16</v>
      </c>
      <c r="I177" s="12"/>
      <c r="J177" s="13" cm="1">
        <f t="array" ref="J177">palidzibas_d(H177,I177)</f>
        <v>0</v>
      </c>
      <c r="K177" s="13">
        <f>IFERROR(('Invoice Data'!$B177+'Invoice Data'!$D177-'Invoice Data'!$F177-'Invoice Data'!$J177+'Invoice Data'!$G177),"Kluda!")</f>
        <v>8779</v>
      </c>
      <c r="L177" s="13">
        <v>0</v>
      </c>
      <c r="M177" s="14" cm="1">
        <f t="array" ref="M177">IFERROR(jauna_bil(D177,F177,J177,B177,L177),"Kluda!")</f>
        <v>8779</v>
      </c>
    </row>
    <row r="178" spans="1:13" x14ac:dyDescent="0.25">
      <c r="A178" s="12">
        <v>32113</v>
      </c>
      <c r="B178" s="13">
        <v>0</v>
      </c>
      <c r="C178" s="12"/>
      <c r="D178" s="13">
        <v>6982</v>
      </c>
      <c r="E178" s="12">
        <v>2</v>
      </c>
      <c r="F178" s="13" cm="1">
        <f t="array" ref="F178">IFERROR(atlaide(E178,B178),"Kluda!")</f>
        <v>0</v>
      </c>
      <c r="G178" s="13"/>
      <c r="H178" s="12">
        <v>0</v>
      </c>
      <c r="I178" s="12"/>
      <c r="J178" s="13" cm="1">
        <f t="array" ref="J178">palidzibas_d(H178,I178)</f>
        <v>0</v>
      </c>
      <c r="K178" s="13">
        <f>IFERROR(('Invoice Data'!$B178+'Invoice Data'!$D178-'Invoice Data'!$F178-'Invoice Data'!$J178+'Invoice Data'!$G178),"Kluda!")</f>
        <v>6982</v>
      </c>
      <c r="L178" s="13">
        <v>0</v>
      </c>
      <c r="M178" s="14" cm="1">
        <f t="array" ref="M178">IFERROR(jauna_bil(D178,F178,J178,B178,L178),"Kluda!")</f>
        <v>6982</v>
      </c>
    </row>
    <row r="179" spans="1:13" x14ac:dyDescent="0.25">
      <c r="A179" s="12">
        <v>32122</v>
      </c>
      <c r="B179" s="13">
        <v>0</v>
      </c>
      <c r="C179" s="12"/>
      <c r="D179" s="13">
        <v>8488</v>
      </c>
      <c r="E179" s="12">
        <v>2</v>
      </c>
      <c r="F179" s="13" cm="1">
        <f t="array" ref="F179">IFERROR(atlaide(E179,B179),"Kluda!")</f>
        <v>0</v>
      </c>
      <c r="G179" s="13"/>
      <c r="H179" s="12">
        <v>7</v>
      </c>
      <c r="I179" s="12"/>
      <c r="J179" s="13" cm="1">
        <f t="array" ref="J179">palidzibas_d(H179,I179)</f>
        <v>0</v>
      </c>
      <c r="K179" s="13">
        <f>IFERROR(('Invoice Data'!$B179+'Invoice Data'!$D179-'Invoice Data'!$F179-'Invoice Data'!$J179+'Invoice Data'!$G179),"Kluda!")</f>
        <v>8488</v>
      </c>
      <c r="L179" s="13">
        <v>0</v>
      </c>
      <c r="M179" s="14" cm="1">
        <f t="array" ref="M179">IFERROR(jauna_bil(D179,F179,J179,B179,L179),"Kluda!")</f>
        <v>8488</v>
      </c>
    </row>
    <row r="180" spans="1:13" x14ac:dyDescent="0.25">
      <c r="A180" s="12">
        <v>32131</v>
      </c>
      <c r="B180" s="13">
        <v>0</v>
      </c>
      <c r="C180" s="12"/>
      <c r="D180" s="13">
        <v>4945</v>
      </c>
      <c r="E180" s="12">
        <v>1</v>
      </c>
      <c r="F180" s="13" cm="1">
        <f t="array" ref="F180">IFERROR(atlaide(E180,B180),"Kluda!")</f>
        <v>0</v>
      </c>
      <c r="G180" s="13"/>
      <c r="H180" s="12">
        <v>12</v>
      </c>
      <c r="I180" s="12"/>
      <c r="J180" s="13" cm="1">
        <f t="array" ref="J180">palidzibas_d(H180,I180)</f>
        <v>0</v>
      </c>
      <c r="K180" s="13">
        <f>IFERROR(('Invoice Data'!$B180+'Invoice Data'!$D180-'Invoice Data'!$F180-'Invoice Data'!$J180+'Invoice Data'!$G180),"Kluda!")</f>
        <v>4945</v>
      </c>
      <c r="L180" s="13">
        <v>0</v>
      </c>
      <c r="M180" s="14" cm="1">
        <f t="array" ref="M180">IFERROR(jauna_bil(D180,F180,J180,B180,L180),"Kluda!")</f>
        <v>4945</v>
      </c>
    </row>
    <row r="181" spans="1:13" x14ac:dyDescent="0.25">
      <c r="A181" s="12">
        <v>32140</v>
      </c>
      <c r="B181" s="13">
        <v>0</v>
      </c>
      <c r="C181" s="12"/>
      <c r="D181" s="13">
        <v>4528</v>
      </c>
      <c r="E181" s="12">
        <v>1</v>
      </c>
      <c r="F181" s="13" cm="1">
        <f t="array" ref="F181">IFERROR(atlaide(E181,B181),"Kluda!")</f>
        <v>0</v>
      </c>
      <c r="G181" s="13"/>
      <c r="H181" s="12">
        <v>1</v>
      </c>
      <c r="I181" s="12"/>
      <c r="J181" s="13" cm="1">
        <f t="array" ref="J181">palidzibas_d(H181,I181)</f>
        <v>0</v>
      </c>
      <c r="K181" s="13">
        <f>IFERROR(('Invoice Data'!$B181+'Invoice Data'!$D181-'Invoice Data'!$F181-'Invoice Data'!$J181+'Invoice Data'!$G181),"Kluda!")</f>
        <v>4528</v>
      </c>
      <c r="L181" s="13">
        <v>0</v>
      </c>
      <c r="M181" s="14" cm="1">
        <f t="array" ref="M181">IFERROR(jauna_bil(D181,F181,J181,B181,L181),"Kluda!")</f>
        <v>4528</v>
      </c>
    </row>
    <row r="182" spans="1:13" x14ac:dyDescent="0.25">
      <c r="A182" s="12">
        <v>32159</v>
      </c>
      <c r="B182" s="13">
        <v>0</v>
      </c>
      <c r="C182" s="12"/>
      <c r="D182" s="13">
        <v>9208</v>
      </c>
      <c r="E182" s="12">
        <v>2</v>
      </c>
      <c r="F182" s="13" cm="1">
        <f t="array" ref="F182">IFERROR(atlaide(E182,B182),"Kluda!")</f>
        <v>0</v>
      </c>
      <c r="G182" s="13"/>
      <c r="H182" s="12">
        <v>0</v>
      </c>
      <c r="I182" s="12"/>
      <c r="J182" s="13" cm="1">
        <f t="array" ref="J182">palidzibas_d(H182,I182)</f>
        <v>0</v>
      </c>
      <c r="K182" s="13">
        <f>IFERROR(('Invoice Data'!$B182+'Invoice Data'!$D182-'Invoice Data'!$F182-'Invoice Data'!$J182+'Invoice Data'!$G182),"Kluda!")</f>
        <v>9208</v>
      </c>
      <c r="L182" s="13">
        <v>0</v>
      </c>
      <c r="M182" s="14" cm="1">
        <f t="array" ref="M182">IFERROR(jauna_bil(D182,F182,J182,B182,L182),"Kluda!")</f>
        <v>9208</v>
      </c>
    </row>
    <row r="183" spans="1:13" x14ac:dyDescent="0.25">
      <c r="A183" s="12">
        <v>32168</v>
      </c>
      <c r="B183" s="13">
        <v>0</v>
      </c>
      <c r="C183" s="12"/>
      <c r="D183" s="13">
        <v>3828</v>
      </c>
      <c r="E183" s="12">
        <v>1</v>
      </c>
      <c r="F183" s="13" cm="1">
        <f t="array" ref="F183">IFERROR(atlaide(E183,B183),"Kluda!")</f>
        <v>0</v>
      </c>
      <c r="G183" s="13"/>
      <c r="H183" s="12">
        <v>12</v>
      </c>
      <c r="I183" s="12"/>
      <c r="J183" s="13" cm="1">
        <f t="array" ref="J183">palidzibas_d(H183,I183)</f>
        <v>0</v>
      </c>
      <c r="K183" s="13">
        <f>IFERROR(('Invoice Data'!$B183+'Invoice Data'!$D183-'Invoice Data'!$F183-'Invoice Data'!$J183+'Invoice Data'!$G183),"Kluda!")</f>
        <v>3828</v>
      </c>
      <c r="L183" s="13">
        <v>0</v>
      </c>
      <c r="M183" s="14" cm="1">
        <f t="array" ref="M183">IFERROR(jauna_bil(D183,F183,J183,B183,L183),"Kluda!")</f>
        <v>3828</v>
      </c>
    </row>
    <row r="184" spans="1:13" x14ac:dyDescent="0.25">
      <c r="A184" s="12">
        <v>32177</v>
      </c>
      <c r="B184" s="13">
        <v>0</v>
      </c>
      <c r="C184" s="12"/>
      <c r="D184" s="13">
        <v>3513</v>
      </c>
      <c r="E184" s="12">
        <v>1</v>
      </c>
      <c r="F184" s="13" cm="1">
        <f t="array" ref="F184">IFERROR(atlaide(E184,B184),"Kluda!")</f>
        <v>0</v>
      </c>
      <c r="G184" s="13"/>
      <c r="H184" s="12">
        <v>2</v>
      </c>
      <c r="I184" s="12"/>
      <c r="J184" s="13" cm="1">
        <f t="array" ref="J184">palidzibas_d(H184,I184)</f>
        <v>0</v>
      </c>
      <c r="K184" s="13">
        <f>IFERROR(('Invoice Data'!$B184+'Invoice Data'!$D184-'Invoice Data'!$F184-'Invoice Data'!$J184+'Invoice Data'!$G184),"Kluda!")</f>
        <v>3513</v>
      </c>
      <c r="L184" s="13">
        <v>0</v>
      </c>
      <c r="M184" s="14" cm="1">
        <f t="array" ref="M184">IFERROR(jauna_bil(D184,F184,J184,B184,L184),"Kluda!")</f>
        <v>3513</v>
      </c>
    </row>
    <row r="185" spans="1:13" x14ac:dyDescent="0.25">
      <c r="A185" s="12">
        <v>32186</v>
      </c>
      <c r="B185" s="13">
        <v>0</v>
      </c>
      <c r="C185" s="12"/>
      <c r="D185" s="13">
        <v>8577</v>
      </c>
      <c r="E185" s="12">
        <v>2</v>
      </c>
      <c r="F185" s="13" cm="1">
        <f t="array" ref="F185">IFERROR(atlaide(E185,B185),"Kluda!")</f>
        <v>0</v>
      </c>
      <c r="G185" s="13"/>
      <c r="H185" s="12">
        <v>6</v>
      </c>
      <c r="I185" s="12"/>
      <c r="J185" s="13" cm="1">
        <f t="array" ref="J185">palidzibas_d(H185,I185)</f>
        <v>0</v>
      </c>
      <c r="K185" s="13">
        <f>IFERROR(('Invoice Data'!$B185+'Invoice Data'!$D185-'Invoice Data'!$F185-'Invoice Data'!$J185+'Invoice Data'!$G185),"Kluda!")</f>
        <v>8577</v>
      </c>
      <c r="L185" s="13">
        <v>0</v>
      </c>
      <c r="M185" s="14" cm="1">
        <f t="array" ref="M185">IFERROR(jauna_bil(D185,F185,J185,B185,L185),"Kluda!")</f>
        <v>8577</v>
      </c>
    </row>
    <row r="186" spans="1:13" x14ac:dyDescent="0.25">
      <c r="A186" s="12">
        <v>32195</v>
      </c>
      <c r="B186" s="13">
        <v>0</v>
      </c>
      <c r="C186" s="12"/>
      <c r="D186" s="13">
        <v>8967</v>
      </c>
      <c r="E186" s="12">
        <v>2</v>
      </c>
      <c r="F186" s="13" cm="1">
        <f t="array" ref="F186">IFERROR(atlaide(E186,B186),"Kluda!")</f>
        <v>0</v>
      </c>
      <c r="G186" s="13"/>
      <c r="H186" s="12">
        <v>12</v>
      </c>
      <c r="I186" s="12"/>
      <c r="J186" s="13" cm="1">
        <f t="array" ref="J186">palidzibas_d(H186,I186)</f>
        <v>0</v>
      </c>
      <c r="K186" s="13">
        <f>IFERROR(('Invoice Data'!$B186+'Invoice Data'!$D186-'Invoice Data'!$F186-'Invoice Data'!$J186+'Invoice Data'!$G186),"Kluda!")</f>
        <v>8967</v>
      </c>
      <c r="L186" s="13">
        <v>0</v>
      </c>
      <c r="M186" s="14" cm="1">
        <f t="array" ref="M186">IFERROR(jauna_bil(D186,F186,J186,B186,L186),"Kluda!")</f>
        <v>8967</v>
      </c>
    </row>
    <row r="187" spans="1:13" x14ac:dyDescent="0.25">
      <c r="A187" s="12">
        <v>32202</v>
      </c>
      <c r="B187" s="13">
        <v>0</v>
      </c>
      <c r="C187" s="12"/>
      <c r="D187" s="13">
        <v>3996</v>
      </c>
      <c r="E187" s="12">
        <v>1</v>
      </c>
      <c r="F187" s="13" cm="1">
        <f t="array" ref="F187">IFERROR(atlaide(E187,B187),"Kluda!")</f>
        <v>0</v>
      </c>
      <c r="G187" s="13"/>
      <c r="H187" s="12">
        <v>12</v>
      </c>
      <c r="I187" s="12"/>
      <c r="J187" s="13" cm="1">
        <f t="array" ref="J187">palidzibas_d(H187,I187)</f>
        <v>0</v>
      </c>
      <c r="K187" s="13">
        <f>IFERROR(('Invoice Data'!$B187+'Invoice Data'!$D187-'Invoice Data'!$F187-'Invoice Data'!$J187+'Invoice Data'!$G187),"Kluda!")</f>
        <v>3996</v>
      </c>
      <c r="L187" s="13">
        <v>0</v>
      </c>
      <c r="M187" s="14" cm="1">
        <f t="array" ref="M187">IFERROR(jauna_bil(D187,F187,J187,B187,L187),"Kluda!")</f>
        <v>3996</v>
      </c>
    </row>
    <row r="188" spans="1:13" x14ac:dyDescent="0.25">
      <c r="A188" s="12">
        <v>32211</v>
      </c>
      <c r="B188" s="13">
        <v>0</v>
      </c>
      <c r="C188" s="12"/>
      <c r="D188" s="13">
        <v>8581</v>
      </c>
      <c r="E188" s="12">
        <v>2</v>
      </c>
      <c r="F188" s="13" cm="1">
        <f t="array" ref="F188">IFERROR(atlaide(E188,B188),"Kluda!")</f>
        <v>0</v>
      </c>
      <c r="G188" s="13"/>
      <c r="H188" s="12">
        <v>7</v>
      </c>
      <c r="I188" s="12"/>
      <c r="J188" s="13" cm="1">
        <f t="array" ref="J188">palidzibas_d(H188,I188)</f>
        <v>0</v>
      </c>
      <c r="K188" s="13">
        <f>IFERROR(('Invoice Data'!$B188+'Invoice Data'!$D188-'Invoice Data'!$F188-'Invoice Data'!$J188+'Invoice Data'!$G188),"Kluda!")</f>
        <v>8581</v>
      </c>
      <c r="L188" s="13">
        <v>0</v>
      </c>
      <c r="M188" s="14" cm="1">
        <f t="array" ref="M188">IFERROR(jauna_bil(D188,F188,J188,B188,L188),"Kluda!")</f>
        <v>8581</v>
      </c>
    </row>
    <row r="189" spans="1:13" x14ac:dyDescent="0.25">
      <c r="A189" s="12">
        <v>32220</v>
      </c>
      <c r="B189" s="13">
        <v>0</v>
      </c>
      <c r="C189" s="12"/>
      <c r="D189" s="13">
        <v>3680</v>
      </c>
      <c r="E189" s="12">
        <v>1</v>
      </c>
      <c r="F189" s="13" cm="1">
        <f t="array" ref="F189">IFERROR(atlaide(E189,B189),"Kluda!")</f>
        <v>0</v>
      </c>
      <c r="G189" s="13"/>
      <c r="H189" s="12">
        <v>12</v>
      </c>
      <c r="I189" s="12"/>
      <c r="J189" s="13" cm="1">
        <f t="array" ref="J189">palidzibas_d(H189,I189)</f>
        <v>0</v>
      </c>
      <c r="K189" s="13">
        <f>IFERROR(('Invoice Data'!$B189+'Invoice Data'!$D189-'Invoice Data'!$F189-'Invoice Data'!$J189+'Invoice Data'!$G189),"Kluda!")</f>
        <v>3680</v>
      </c>
      <c r="L189" s="13">
        <v>0</v>
      </c>
      <c r="M189" s="14" cm="1">
        <f t="array" ref="M189">IFERROR(jauna_bil(D189,F189,J189,B189,L189),"Kluda!")</f>
        <v>3680</v>
      </c>
    </row>
    <row r="190" spans="1:13" x14ac:dyDescent="0.25">
      <c r="A190" s="12">
        <v>32239</v>
      </c>
      <c r="B190" s="13">
        <v>3450</v>
      </c>
      <c r="C190" s="12"/>
      <c r="D190" s="13">
        <v>8608</v>
      </c>
      <c r="E190" s="12">
        <v>2</v>
      </c>
      <c r="F190" s="13" cm="1">
        <f t="array" ref="F190">IFERROR(atlaide(E190,B190),"Kluda!")</f>
        <v>207</v>
      </c>
      <c r="G190" s="13"/>
      <c r="H190" s="12">
        <v>13</v>
      </c>
      <c r="I190" s="12"/>
      <c r="J190" s="13" cm="1">
        <f t="array" ref="J190">palidzibas_d(H190,I190)</f>
        <v>0</v>
      </c>
      <c r="K190" s="13">
        <f>IFERROR(('Invoice Data'!$B190+'Invoice Data'!$D190-'Invoice Data'!$F190-'Invoice Data'!$J190+'Invoice Data'!$G190),"Kluda!")</f>
        <v>11851</v>
      </c>
      <c r="L190" s="13">
        <v>0</v>
      </c>
      <c r="M190" s="14" cm="1">
        <f t="array" ref="M190">IFERROR(jauna_bil(D190,F190,J190,B190,L190),"Kluda!")</f>
        <v>4951</v>
      </c>
    </row>
    <row r="191" spans="1:13" x14ac:dyDescent="0.25">
      <c r="A191" s="12">
        <v>32248</v>
      </c>
      <c r="B191" s="13">
        <v>0</v>
      </c>
      <c r="C191" s="12"/>
      <c r="D191" s="13">
        <v>4748</v>
      </c>
      <c r="E191" s="12">
        <v>1</v>
      </c>
      <c r="F191" s="13" cm="1">
        <f t="array" ref="F191">IFERROR(atlaide(E191,B191),"Kluda!")</f>
        <v>0</v>
      </c>
      <c r="G191" s="13"/>
      <c r="H191" s="12">
        <v>16</v>
      </c>
      <c r="I191" s="12"/>
      <c r="J191" s="13" cm="1">
        <f t="array" ref="J191">palidzibas_d(H191,I191)</f>
        <v>0</v>
      </c>
      <c r="K191" s="13">
        <f>IFERROR(('Invoice Data'!$B191+'Invoice Data'!$D191-'Invoice Data'!$F191-'Invoice Data'!$J191+'Invoice Data'!$G191),"Kluda!")</f>
        <v>4748</v>
      </c>
      <c r="L191" s="13">
        <v>0</v>
      </c>
      <c r="M191" s="14" cm="1">
        <f t="array" ref="M191">IFERROR(jauna_bil(D191,F191,J191,B191,L191),"Kluda!")</f>
        <v>4748</v>
      </c>
    </row>
    <row r="192" spans="1:13" x14ac:dyDescent="0.25">
      <c r="A192" s="12">
        <v>32257</v>
      </c>
      <c r="B192" s="13">
        <v>0</v>
      </c>
      <c r="C192" s="12"/>
      <c r="D192" s="13">
        <v>9572</v>
      </c>
      <c r="E192" s="12">
        <v>2</v>
      </c>
      <c r="F192" s="13" cm="1">
        <f t="array" ref="F192">IFERROR(atlaide(E192,B192),"Kluda!")</f>
        <v>0</v>
      </c>
      <c r="G192" s="13"/>
      <c r="H192" s="12">
        <v>7</v>
      </c>
      <c r="I192" s="12"/>
      <c r="J192" s="13" cm="1">
        <f t="array" ref="J192">palidzibas_d(H192,I192)</f>
        <v>0</v>
      </c>
      <c r="K192" s="13">
        <f>IFERROR(('Invoice Data'!$B192+'Invoice Data'!$D192-'Invoice Data'!$F192-'Invoice Data'!$J192+'Invoice Data'!$G192),"Kluda!")</f>
        <v>9572</v>
      </c>
      <c r="L192" s="13">
        <v>0</v>
      </c>
      <c r="M192" s="14" cm="1">
        <f t="array" ref="M192">IFERROR(jauna_bil(D192,F192,J192,B192,L192),"Kluda!")</f>
        <v>9572</v>
      </c>
    </row>
    <row r="193" spans="1:13" x14ac:dyDescent="0.25">
      <c r="A193" s="12">
        <v>32266</v>
      </c>
      <c r="B193" s="13">
        <v>0</v>
      </c>
      <c r="C193" s="12"/>
      <c r="D193" s="13">
        <v>5072</v>
      </c>
      <c r="E193" s="12">
        <v>1</v>
      </c>
      <c r="F193" s="13" cm="1">
        <f t="array" ref="F193">IFERROR(atlaide(E193,B193),"Kluda!")</f>
        <v>0</v>
      </c>
      <c r="G193" s="13"/>
      <c r="H193" s="12">
        <v>13</v>
      </c>
      <c r="I193" s="12"/>
      <c r="J193" s="13" cm="1">
        <f t="array" ref="J193">palidzibas_d(H193,I193)</f>
        <v>0</v>
      </c>
      <c r="K193" s="13">
        <f>IFERROR(('Invoice Data'!$B193+'Invoice Data'!$D193-'Invoice Data'!$F193-'Invoice Data'!$J193+'Invoice Data'!$G193),"Kluda!")</f>
        <v>5072</v>
      </c>
      <c r="L193" s="13">
        <v>0</v>
      </c>
      <c r="M193" s="14" cm="1">
        <f t="array" ref="M193">IFERROR(jauna_bil(D193,F193,J193,B193,L193),"Kluda!")</f>
        <v>5072</v>
      </c>
    </row>
    <row r="194" spans="1:13" x14ac:dyDescent="0.25">
      <c r="A194" s="12">
        <v>32275</v>
      </c>
      <c r="B194" s="13">
        <v>0</v>
      </c>
      <c r="C194" s="12"/>
      <c r="D194" s="13">
        <v>7359</v>
      </c>
      <c r="E194" s="12">
        <v>2</v>
      </c>
      <c r="F194" s="13" cm="1">
        <f t="array" ref="F194">IFERROR(atlaide(E194,B194),"Kluda!")</f>
        <v>0</v>
      </c>
      <c r="G194" s="13"/>
      <c r="H194" s="12">
        <v>5</v>
      </c>
      <c r="I194" s="12"/>
      <c r="J194" s="13" cm="1">
        <f t="array" ref="J194">palidzibas_d(H194,I194)</f>
        <v>0</v>
      </c>
      <c r="K194" s="13">
        <f>IFERROR(('Invoice Data'!$B194+'Invoice Data'!$D194-'Invoice Data'!$F194-'Invoice Data'!$J194+'Invoice Data'!$G194),"Kluda!")</f>
        <v>7359</v>
      </c>
      <c r="L194" s="13">
        <v>0</v>
      </c>
      <c r="M194" s="14" cm="1">
        <f t="array" ref="M194">IFERROR(jauna_bil(D194,F194,J194,B194,L194),"Kluda!")</f>
        <v>7359</v>
      </c>
    </row>
    <row r="195" spans="1:13" x14ac:dyDescent="0.25">
      <c r="A195" s="12">
        <v>32284</v>
      </c>
      <c r="B195" s="13">
        <v>0</v>
      </c>
      <c r="C195" s="12"/>
      <c r="D195" s="13">
        <v>3523</v>
      </c>
      <c r="E195" s="12">
        <v>1</v>
      </c>
      <c r="F195" s="13" cm="1">
        <f t="array" ref="F195">IFERROR(atlaide(E195,B195),"Kluda!")</f>
        <v>0</v>
      </c>
      <c r="G195" s="13"/>
      <c r="H195" s="12">
        <v>9</v>
      </c>
      <c r="I195" s="12"/>
      <c r="J195" s="13" cm="1">
        <f t="array" ref="J195">palidzibas_d(H195,I195)</f>
        <v>0</v>
      </c>
      <c r="K195" s="13">
        <f>IFERROR(('Invoice Data'!$B195+'Invoice Data'!$D195-'Invoice Data'!$F195-'Invoice Data'!$J195+'Invoice Data'!$G195),"Kluda!")</f>
        <v>3523</v>
      </c>
      <c r="L195" s="13">
        <v>0</v>
      </c>
      <c r="M195" s="14" cm="1">
        <f t="array" ref="M195">IFERROR(jauna_bil(D195,F195,J195,B195,L195),"Kluda!")</f>
        <v>3523</v>
      </c>
    </row>
    <row r="196" spans="1:13" x14ac:dyDescent="0.25">
      <c r="A196" s="12">
        <v>32293</v>
      </c>
      <c r="B196" s="13">
        <v>0</v>
      </c>
      <c r="C196" s="12"/>
      <c r="D196" s="13">
        <v>6682</v>
      </c>
      <c r="E196" s="12">
        <v>2</v>
      </c>
      <c r="F196" s="13" cm="1">
        <f t="array" ref="F196">IFERROR(atlaide(E196,B196),"Kluda!")</f>
        <v>0</v>
      </c>
      <c r="G196" s="13"/>
      <c r="H196" s="12">
        <v>12</v>
      </c>
      <c r="I196" s="12"/>
      <c r="J196" s="13" cm="1">
        <f t="array" ref="J196">palidzibas_d(H196,I196)</f>
        <v>0</v>
      </c>
      <c r="K196" s="13">
        <f>IFERROR(('Invoice Data'!$B196+'Invoice Data'!$D196-'Invoice Data'!$F196-'Invoice Data'!$J196+'Invoice Data'!$G196),"Kluda!")</f>
        <v>6682</v>
      </c>
      <c r="L196" s="13">
        <v>0</v>
      </c>
      <c r="M196" s="14" cm="1">
        <f t="array" ref="M196">IFERROR(jauna_bil(D196,F196,J196,B196,L196),"Kluda!")</f>
        <v>6682</v>
      </c>
    </row>
    <row r="197" spans="1:13" x14ac:dyDescent="0.25">
      <c r="A197" s="12">
        <v>32300</v>
      </c>
      <c r="B197" s="13">
        <v>0</v>
      </c>
      <c r="C197" s="12"/>
      <c r="D197" s="13">
        <v>9997</v>
      </c>
      <c r="E197" s="12">
        <v>2</v>
      </c>
      <c r="F197" s="13" cm="1">
        <f t="array" ref="F197">IFERROR(atlaide(E197,B197),"Kluda!")</f>
        <v>0</v>
      </c>
      <c r="G197" s="13"/>
      <c r="H197" s="12">
        <v>4</v>
      </c>
      <c r="I197" s="12"/>
      <c r="J197" s="13" cm="1">
        <f t="array" ref="J197">palidzibas_d(H197,I197)</f>
        <v>0</v>
      </c>
      <c r="K197" s="13">
        <f>IFERROR(('Invoice Data'!$B197+'Invoice Data'!$D197-'Invoice Data'!$F197-'Invoice Data'!$J197+'Invoice Data'!$G197),"Kluda!")</f>
        <v>9997</v>
      </c>
      <c r="L197" s="13">
        <v>0</v>
      </c>
      <c r="M197" s="14" cm="1">
        <f t="array" ref="M197">IFERROR(jauna_bil(D197,F197,J197,B197,L197),"Kluda!")</f>
        <v>9997</v>
      </c>
    </row>
    <row r="198" spans="1:13" x14ac:dyDescent="0.25">
      <c r="A198" s="12">
        <v>32319</v>
      </c>
      <c r="B198" s="13">
        <v>0</v>
      </c>
      <c r="C198" s="12"/>
      <c r="D198" s="13">
        <v>10402</v>
      </c>
      <c r="E198" s="12">
        <v>2</v>
      </c>
      <c r="F198" s="13" cm="1">
        <f t="array" ref="F198">IFERROR(atlaide(E198,B198),"Kluda!")</f>
        <v>0</v>
      </c>
      <c r="G198" s="13"/>
      <c r="H198" s="12">
        <v>0</v>
      </c>
      <c r="I198" s="12"/>
      <c r="J198" s="13" cm="1">
        <f t="array" ref="J198">palidzibas_d(H198,I198)</f>
        <v>0</v>
      </c>
      <c r="K198" s="13">
        <f>IFERROR(('Invoice Data'!$B198+'Invoice Data'!$D198-'Invoice Data'!$F198-'Invoice Data'!$J198+'Invoice Data'!$G198),"Kluda!")</f>
        <v>10402</v>
      </c>
      <c r="L198" s="13">
        <v>0</v>
      </c>
      <c r="M198" s="14" cm="1">
        <f t="array" ref="M198">IFERROR(jauna_bil(D198,F198,J198,B198,L198),"Kluda!")</f>
        <v>10402</v>
      </c>
    </row>
    <row r="199" spans="1:13" x14ac:dyDescent="0.25">
      <c r="A199" s="12">
        <v>32328</v>
      </c>
      <c r="B199" s="13">
        <v>0</v>
      </c>
      <c r="C199" s="12"/>
      <c r="D199" s="13">
        <v>11053</v>
      </c>
      <c r="E199" s="12">
        <v>3</v>
      </c>
      <c r="F199" s="13" cm="1">
        <f t="array" ref="F199">IFERROR(atlaide(E199,B199),"Kluda!")</f>
        <v>0</v>
      </c>
      <c r="G199" s="13"/>
      <c r="H199" s="12">
        <v>13</v>
      </c>
      <c r="I199" s="12"/>
      <c r="J199" s="13" cm="1">
        <f t="array" ref="J199">palidzibas_d(H199,I199)</f>
        <v>0</v>
      </c>
      <c r="K199" s="13">
        <f>IFERROR(('Invoice Data'!$B199+'Invoice Data'!$D199-'Invoice Data'!$F199-'Invoice Data'!$J199+'Invoice Data'!$G199),"Kluda!")</f>
        <v>11053</v>
      </c>
      <c r="L199" s="13">
        <v>0</v>
      </c>
      <c r="M199" s="14" cm="1">
        <f t="array" ref="M199">IFERROR(jauna_bil(D199,F199,J199,B199,L199),"Kluda!")</f>
        <v>11053</v>
      </c>
    </row>
    <row r="200" spans="1:13" x14ac:dyDescent="0.25">
      <c r="A200" s="12">
        <v>32337</v>
      </c>
      <c r="B200" s="13">
        <v>0</v>
      </c>
      <c r="C200" s="12"/>
      <c r="D200" s="13">
        <v>9201</v>
      </c>
      <c r="E200" s="12">
        <v>2</v>
      </c>
      <c r="F200" s="13" cm="1">
        <f t="array" ref="F200">IFERROR(atlaide(E200,B200),"Kluda!")</f>
        <v>0</v>
      </c>
      <c r="G200" s="13"/>
      <c r="H200" s="12">
        <v>7</v>
      </c>
      <c r="I200" s="12"/>
      <c r="J200" s="13" cm="1">
        <f t="array" ref="J200">palidzibas_d(H200,I200)</f>
        <v>0</v>
      </c>
      <c r="K200" s="13">
        <f>IFERROR(('Invoice Data'!$B200+'Invoice Data'!$D200-'Invoice Data'!$F200-'Invoice Data'!$J200+'Invoice Data'!$G200),"Kluda!")</f>
        <v>9201</v>
      </c>
      <c r="L200" s="13">
        <v>0</v>
      </c>
      <c r="M200" s="14" cm="1">
        <f t="array" ref="M200">IFERROR(jauna_bil(D200,F200,J200,B200,L200),"Kluda!")</f>
        <v>9201</v>
      </c>
    </row>
    <row r="201" spans="1:13" x14ac:dyDescent="0.25">
      <c r="A201" s="12">
        <v>32346</v>
      </c>
      <c r="B201" s="13">
        <v>0</v>
      </c>
      <c r="C201" s="12"/>
      <c r="D201" s="13">
        <v>4639</v>
      </c>
      <c r="E201" s="12">
        <v>1</v>
      </c>
      <c r="F201" s="13" cm="1">
        <f t="array" ref="F201">IFERROR(atlaide(E201,B201),"Kluda!")</f>
        <v>0</v>
      </c>
      <c r="G201" s="13"/>
      <c r="H201" s="12">
        <v>9</v>
      </c>
      <c r="I201" s="12"/>
      <c r="J201" s="13" cm="1">
        <f t="array" ref="J201">palidzibas_d(H201,I201)</f>
        <v>0</v>
      </c>
      <c r="K201" s="13">
        <f>IFERROR(('Invoice Data'!$B201+'Invoice Data'!$D201-'Invoice Data'!$F201-'Invoice Data'!$J201+'Invoice Data'!$G201),"Kluda!")</f>
        <v>4639</v>
      </c>
      <c r="L201" s="13">
        <v>0</v>
      </c>
      <c r="M201" s="14" cm="1">
        <f t="array" ref="M201">IFERROR(jauna_bil(D201,F201,J201,B201,L201),"Kluda!")</f>
        <v>4639</v>
      </c>
    </row>
    <row r="202" spans="1:13" x14ac:dyDescent="0.25">
      <c r="A202" s="12">
        <v>32355</v>
      </c>
      <c r="B202" s="13">
        <v>0</v>
      </c>
      <c r="C202" s="12"/>
      <c r="D202" s="13">
        <v>3675</v>
      </c>
      <c r="E202" s="12">
        <v>1</v>
      </c>
      <c r="F202" s="13" cm="1">
        <f t="array" ref="F202">IFERROR(atlaide(E202,B202),"Kluda!")</f>
        <v>0</v>
      </c>
      <c r="G202" s="13"/>
      <c r="H202" s="12">
        <v>8</v>
      </c>
      <c r="I202" s="12"/>
      <c r="J202" s="13" cm="1">
        <f t="array" ref="J202">palidzibas_d(H202,I202)</f>
        <v>0</v>
      </c>
      <c r="K202" s="13">
        <f>IFERROR(('Invoice Data'!$B202+'Invoice Data'!$D202-'Invoice Data'!$F202-'Invoice Data'!$J202+'Invoice Data'!$G202),"Kluda!")</f>
        <v>3675</v>
      </c>
      <c r="L202" s="13">
        <v>0</v>
      </c>
      <c r="M202" s="14" cm="1">
        <f t="array" ref="M202">IFERROR(jauna_bil(D202,F202,J202,B202,L202),"Kluda!")</f>
        <v>3675</v>
      </c>
    </row>
    <row r="203" spans="1:13" x14ac:dyDescent="0.25">
      <c r="A203" s="12">
        <v>32364</v>
      </c>
      <c r="B203" s="13">
        <v>0</v>
      </c>
      <c r="C203" s="12"/>
      <c r="D203" s="13">
        <v>8320</v>
      </c>
      <c r="E203" s="12">
        <v>2</v>
      </c>
      <c r="F203" s="13" cm="1">
        <f t="array" ref="F203">IFERROR(atlaide(E203,B203),"Kluda!")</f>
        <v>0</v>
      </c>
      <c r="G203" s="13"/>
      <c r="H203" s="12">
        <v>8</v>
      </c>
      <c r="I203" s="12"/>
      <c r="J203" s="13" cm="1">
        <f t="array" ref="J203">palidzibas_d(H203,I203)</f>
        <v>0</v>
      </c>
      <c r="K203" s="13">
        <f>IFERROR(('Invoice Data'!$B203+'Invoice Data'!$D203-'Invoice Data'!$F203-'Invoice Data'!$J203+'Invoice Data'!$G203),"Kluda!")</f>
        <v>8320</v>
      </c>
      <c r="L203" s="13">
        <v>0</v>
      </c>
      <c r="M203" s="14" cm="1">
        <f t="array" ref="M203">IFERROR(jauna_bil(D203,F203,J203,B203,L203),"Kluda!")</f>
        <v>8320</v>
      </c>
    </row>
    <row r="204" spans="1:13" x14ac:dyDescent="0.25">
      <c r="A204" s="12">
        <v>32373</v>
      </c>
      <c r="B204" s="13">
        <v>0</v>
      </c>
      <c r="C204" s="12"/>
      <c r="D204" s="13">
        <v>7610</v>
      </c>
      <c r="E204" s="12">
        <v>2</v>
      </c>
      <c r="F204" s="13" cm="1">
        <f t="array" ref="F204">IFERROR(atlaide(E204,B204),"Kluda!")</f>
        <v>0</v>
      </c>
      <c r="G204" s="13"/>
      <c r="H204" s="12">
        <v>14</v>
      </c>
      <c r="I204" s="12"/>
      <c r="J204" s="13" cm="1">
        <f t="array" ref="J204">palidzibas_d(H204,I204)</f>
        <v>0</v>
      </c>
      <c r="K204" s="13">
        <f>IFERROR(('Invoice Data'!$B204+'Invoice Data'!$D204-'Invoice Data'!$F204-'Invoice Data'!$J204+'Invoice Data'!$G204),"Kluda!")</f>
        <v>7610</v>
      </c>
      <c r="L204" s="13">
        <v>0</v>
      </c>
      <c r="M204" s="14" cm="1">
        <f t="array" ref="M204">IFERROR(jauna_bil(D204,F204,J204,B204,L204),"Kluda!")</f>
        <v>7610</v>
      </c>
    </row>
    <row r="205" spans="1:13" x14ac:dyDescent="0.25">
      <c r="A205" s="12">
        <v>32382</v>
      </c>
      <c r="B205" s="13">
        <v>0</v>
      </c>
      <c r="C205" s="12"/>
      <c r="D205" s="13">
        <v>9147</v>
      </c>
      <c r="E205" s="12">
        <v>2</v>
      </c>
      <c r="F205" s="13" cm="1">
        <f t="array" ref="F205">IFERROR(atlaide(E205,B205),"Kluda!")</f>
        <v>0</v>
      </c>
      <c r="G205" s="13"/>
      <c r="H205" s="12">
        <v>10</v>
      </c>
      <c r="I205" s="12"/>
      <c r="J205" s="13" cm="1">
        <f t="array" ref="J205">palidzibas_d(H205,I205)</f>
        <v>0</v>
      </c>
      <c r="K205" s="13">
        <f>IFERROR(('Invoice Data'!$B205+'Invoice Data'!$D205-'Invoice Data'!$F205-'Invoice Data'!$J205+'Invoice Data'!$G205),"Kluda!")</f>
        <v>9147</v>
      </c>
      <c r="L205" s="13">
        <v>0</v>
      </c>
      <c r="M205" s="14" cm="1">
        <f t="array" ref="M205">IFERROR(jauna_bil(D205,F205,J205,B205,L205),"Kluda!")</f>
        <v>9147</v>
      </c>
    </row>
    <row r="206" spans="1:13" x14ac:dyDescent="0.25">
      <c r="A206" s="12">
        <v>32391</v>
      </c>
      <c r="B206" s="13">
        <v>0</v>
      </c>
      <c r="C206" s="12"/>
      <c r="D206" s="13">
        <v>9058</v>
      </c>
      <c r="E206" s="12">
        <v>2</v>
      </c>
      <c r="F206" s="13" cm="1">
        <f t="array" ref="F206">IFERROR(atlaide(E206,B206),"Kluda!")</f>
        <v>0</v>
      </c>
      <c r="G206" s="13"/>
      <c r="H206" s="12">
        <v>16</v>
      </c>
      <c r="I206" s="12"/>
      <c r="J206" s="13" cm="1">
        <f t="array" ref="J206">palidzibas_d(H206,I206)</f>
        <v>0</v>
      </c>
      <c r="K206" s="13">
        <f>IFERROR(('Invoice Data'!$B206+'Invoice Data'!$D206-'Invoice Data'!$F206-'Invoice Data'!$J206+'Invoice Data'!$G206),"Kluda!")</f>
        <v>9058</v>
      </c>
      <c r="L206" s="13">
        <v>0</v>
      </c>
      <c r="M206" s="14" cm="1">
        <f t="array" ref="M206">IFERROR(jauna_bil(D206,F206,J206,B206,L206),"Kluda!")</f>
        <v>9058</v>
      </c>
    </row>
    <row r="207" spans="1:13" x14ac:dyDescent="0.25">
      <c r="A207" s="12">
        <v>32408</v>
      </c>
      <c r="B207" s="13">
        <v>0</v>
      </c>
      <c r="C207" s="12"/>
      <c r="D207" s="13">
        <v>4375</v>
      </c>
      <c r="E207" s="12">
        <v>1</v>
      </c>
      <c r="F207" s="13" cm="1">
        <f t="array" ref="F207">IFERROR(atlaide(E207,B207),"Kluda!")</f>
        <v>0</v>
      </c>
      <c r="G207" s="13"/>
      <c r="H207" s="12">
        <v>12</v>
      </c>
      <c r="I207" s="12"/>
      <c r="J207" s="13" cm="1">
        <f t="array" ref="J207">palidzibas_d(H207,I207)</f>
        <v>0</v>
      </c>
      <c r="K207" s="13">
        <f>IFERROR(('Invoice Data'!$B207+'Invoice Data'!$D207-'Invoice Data'!$F207-'Invoice Data'!$J207+'Invoice Data'!$G207),"Kluda!")</f>
        <v>4375</v>
      </c>
      <c r="L207" s="13">
        <v>0</v>
      </c>
      <c r="M207" s="14" cm="1">
        <f t="array" ref="M207">IFERROR(jauna_bil(D207,F207,J207,B207,L207),"Kluda!")</f>
        <v>4375</v>
      </c>
    </row>
    <row r="208" spans="1:13" x14ac:dyDescent="0.25">
      <c r="A208" s="12">
        <v>32417</v>
      </c>
      <c r="B208" s="13">
        <v>0</v>
      </c>
      <c r="C208" s="12"/>
      <c r="D208" s="13">
        <v>10163</v>
      </c>
      <c r="E208" s="12">
        <v>2</v>
      </c>
      <c r="F208" s="13" cm="1">
        <f t="array" ref="F208">IFERROR(atlaide(E208,B208),"Kluda!")</f>
        <v>0</v>
      </c>
      <c r="G208" s="13"/>
      <c r="H208" s="12">
        <v>9</v>
      </c>
      <c r="I208" s="12"/>
      <c r="J208" s="13" cm="1">
        <f t="array" ref="J208">palidzibas_d(H208,I208)</f>
        <v>0</v>
      </c>
      <c r="K208" s="13">
        <f>IFERROR(('Invoice Data'!$B208+'Invoice Data'!$D208-'Invoice Data'!$F208-'Invoice Data'!$J208+'Invoice Data'!$G208),"Kluda!")</f>
        <v>10163</v>
      </c>
      <c r="L208" s="13">
        <v>0</v>
      </c>
      <c r="M208" s="14" cm="1">
        <f t="array" ref="M208">IFERROR(jauna_bil(D208,F208,J208,B208,L208),"Kluda!")</f>
        <v>10163</v>
      </c>
    </row>
    <row r="209" spans="1:13" x14ac:dyDescent="0.25">
      <c r="A209" s="12">
        <v>32426</v>
      </c>
      <c r="B209" s="13">
        <v>0</v>
      </c>
      <c r="C209" s="12"/>
      <c r="D209" s="13">
        <v>7870</v>
      </c>
      <c r="E209" s="12">
        <v>2</v>
      </c>
      <c r="F209" s="13" cm="1">
        <f t="array" ref="F209">IFERROR(atlaide(E209,B209),"Kluda!")</f>
        <v>0</v>
      </c>
      <c r="G209" s="13"/>
      <c r="H209" s="12">
        <v>2</v>
      </c>
      <c r="I209" s="12"/>
      <c r="J209" s="13" cm="1">
        <f t="array" ref="J209">palidzibas_d(H209,I209)</f>
        <v>0</v>
      </c>
      <c r="K209" s="13">
        <f>IFERROR(('Invoice Data'!$B209+'Invoice Data'!$D209-'Invoice Data'!$F209-'Invoice Data'!$J209+'Invoice Data'!$G209),"Kluda!")</f>
        <v>7870</v>
      </c>
      <c r="L209" s="13">
        <v>0</v>
      </c>
      <c r="M209" s="14" cm="1">
        <f t="array" ref="M209">IFERROR(jauna_bil(D209,F209,J209,B209,L209),"Kluda!")</f>
        <v>7870</v>
      </c>
    </row>
    <row r="210" spans="1:13" x14ac:dyDescent="0.25">
      <c r="A210" s="12">
        <v>32435</v>
      </c>
      <c r="B210" s="13">
        <v>0</v>
      </c>
      <c r="C210" s="12"/>
      <c r="D210" s="13">
        <v>4796</v>
      </c>
      <c r="E210" s="12">
        <v>1</v>
      </c>
      <c r="F210" s="13" cm="1">
        <f t="array" ref="F210">IFERROR(atlaide(E210,B210),"Kluda!")</f>
        <v>0</v>
      </c>
      <c r="G210" s="13"/>
      <c r="H210" s="12">
        <v>4</v>
      </c>
      <c r="I210" s="12"/>
      <c r="J210" s="13" cm="1">
        <f t="array" ref="J210">palidzibas_d(H210,I210)</f>
        <v>0</v>
      </c>
      <c r="K210" s="13">
        <f>IFERROR(('Invoice Data'!$B210+'Invoice Data'!$D210-'Invoice Data'!$F210-'Invoice Data'!$J210+'Invoice Data'!$G210),"Kluda!")</f>
        <v>4796</v>
      </c>
      <c r="L210" s="13">
        <v>0</v>
      </c>
      <c r="M210" s="14" cm="1">
        <f t="array" ref="M210">IFERROR(jauna_bil(D210,F210,J210,B210,L210),"Kluda!")</f>
        <v>4796</v>
      </c>
    </row>
    <row r="211" spans="1:13" x14ac:dyDescent="0.25">
      <c r="A211" s="12">
        <v>32444</v>
      </c>
      <c r="B211" s="13">
        <v>0</v>
      </c>
      <c r="C211" s="12"/>
      <c r="D211" s="13">
        <v>10132</v>
      </c>
      <c r="E211" s="12">
        <v>2</v>
      </c>
      <c r="F211" s="13" cm="1">
        <f t="array" ref="F211">IFERROR(atlaide(E211,B211),"Kluda!")</f>
        <v>0</v>
      </c>
      <c r="G211" s="13"/>
      <c r="H211" s="12">
        <v>0</v>
      </c>
      <c r="I211" s="12"/>
      <c r="J211" s="13" cm="1">
        <f t="array" ref="J211">palidzibas_d(H211,I211)</f>
        <v>0</v>
      </c>
      <c r="K211" s="13">
        <f>IFERROR(('Invoice Data'!$B211+'Invoice Data'!$D211-'Invoice Data'!$F211-'Invoice Data'!$J211+'Invoice Data'!$G211),"Kluda!")</f>
        <v>10132</v>
      </c>
      <c r="L211" s="13">
        <v>0</v>
      </c>
      <c r="M211" s="14" cm="1">
        <f t="array" ref="M211">IFERROR(jauna_bil(D211,F211,J211,B211,L211),"Kluda!")</f>
        <v>10132</v>
      </c>
    </row>
    <row r="212" spans="1:13" x14ac:dyDescent="0.25">
      <c r="A212" s="12">
        <v>32453</v>
      </c>
      <c r="B212" s="13">
        <v>0</v>
      </c>
      <c r="C212" s="12"/>
      <c r="D212" s="13">
        <v>6945</v>
      </c>
      <c r="E212" s="12">
        <v>2</v>
      </c>
      <c r="F212" s="13" cm="1">
        <f t="array" ref="F212">IFERROR(atlaide(E212,B212),"Kluda!")</f>
        <v>0</v>
      </c>
      <c r="G212" s="13"/>
      <c r="H212" s="12">
        <v>10</v>
      </c>
      <c r="I212" s="12"/>
      <c r="J212" s="13" cm="1">
        <f t="array" ref="J212">palidzibas_d(H212,I212)</f>
        <v>0</v>
      </c>
      <c r="K212" s="13">
        <f>IFERROR(('Invoice Data'!$B212+'Invoice Data'!$D212-'Invoice Data'!$F212-'Invoice Data'!$J212+'Invoice Data'!$G212),"Kluda!")</f>
        <v>6945</v>
      </c>
      <c r="L212" s="13">
        <v>0</v>
      </c>
      <c r="M212" s="14" cm="1">
        <f t="array" ref="M212">IFERROR(jauna_bil(D212,F212,J212,B212,L212),"Kluda!")</f>
        <v>6945</v>
      </c>
    </row>
    <row r="213" spans="1:13" x14ac:dyDescent="0.25">
      <c r="A213" s="12">
        <v>32462</v>
      </c>
      <c r="B213" s="13">
        <v>0</v>
      </c>
      <c r="C213" s="12"/>
      <c r="D213" s="13">
        <v>7338</v>
      </c>
      <c r="E213" s="12">
        <v>2</v>
      </c>
      <c r="F213" s="13" cm="1">
        <f t="array" ref="F213">IFERROR(atlaide(E213,B213),"Kluda!")</f>
        <v>0</v>
      </c>
      <c r="G213" s="13"/>
      <c r="H213" s="12">
        <v>0</v>
      </c>
      <c r="I213" s="12"/>
      <c r="J213" s="13" cm="1">
        <f t="array" ref="J213">palidzibas_d(H213,I213)</f>
        <v>0</v>
      </c>
      <c r="K213" s="13">
        <f>IFERROR(('Invoice Data'!$B213+'Invoice Data'!$D213-'Invoice Data'!$F213-'Invoice Data'!$J213+'Invoice Data'!$G213),"Kluda!")</f>
        <v>7338</v>
      </c>
      <c r="L213" s="13">
        <v>0</v>
      </c>
      <c r="M213" s="14" cm="1">
        <f t="array" ref="M213">IFERROR(jauna_bil(D213,F213,J213,B213,L213),"Kluda!")</f>
        <v>7338</v>
      </c>
    </row>
    <row r="214" spans="1:13" x14ac:dyDescent="0.25">
      <c r="A214" s="12">
        <v>32471</v>
      </c>
      <c r="B214" s="13">
        <v>0</v>
      </c>
      <c r="C214" s="12"/>
      <c r="D214" s="13">
        <v>4473</v>
      </c>
      <c r="E214" s="12">
        <v>1</v>
      </c>
      <c r="F214" s="13" cm="1">
        <f t="array" ref="F214">IFERROR(atlaide(E214,B214),"Kluda!")</f>
        <v>0</v>
      </c>
      <c r="G214" s="13"/>
      <c r="H214" s="12">
        <v>11</v>
      </c>
      <c r="I214" s="12"/>
      <c r="J214" s="13" cm="1">
        <f t="array" ref="J214">palidzibas_d(H214,I214)</f>
        <v>0</v>
      </c>
      <c r="K214" s="13">
        <f>IFERROR(('Invoice Data'!$B214+'Invoice Data'!$D214-'Invoice Data'!$F214-'Invoice Data'!$J214+'Invoice Data'!$G214),"Kluda!")</f>
        <v>4473</v>
      </c>
      <c r="L214" s="13">
        <v>0</v>
      </c>
      <c r="M214" s="14" cm="1">
        <f t="array" ref="M214">IFERROR(jauna_bil(D214,F214,J214,B214,L214),"Kluda!")</f>
        <v>4473</v>
      </c>
    </row>
    <row r="215" spans="1:13" x14ac:dyDescent="0.25">
      <c r="A215" s="12">
        <v>32480</v>
      </c>
      <c r="B215" s="13">
        <v>0</v>
      </c>
      <c r="C215" s="12"/>
      <c r="D215" s="13">
        <v>14541</v>
      </c>
      <c r="E215" s="12">
        <v>3</v>
      </c>
      <c r="F215" s="13" cm="1">
        <f t="array" ref="F215">IFERROR(atlaide(E215,B215),"Kluda!")</f>
        <v>0</v>
      </c>
      <c r="G215" s="13"/>
      <c r="H215" s="12">
        <v>0</v>
      </c>
      <c r="I215" s="12"/>
      <c r="J215" s="13" cm="1">
        <f t="array" ref="J215">palidzibas_d(H215,I215)</f>
        <v>0</v>
      </c>
      <c r="K215" s="13">
        <f>IFERROR(('Invoice Data'!$B215+'Invoice Data'!$D215-'Invoice Data'!$F215-'Invoice Data'!$J215+'Invoice Data'!$G215),"Kluda!")</f>
        <v>14541</v>
      </c>
      <c r="L215" s="13">
        <v>0</v>
      </c>
      <c r="M215" s="14" cm="1">
        <f t="array" ref="M215">IFERROR(jauna_bil(D215,F215,J215,B215,L215),"Kluda!")</f>
        <v>14541</v>
      </c>
    </row>
    <row r="216" spans="1:13" x14ac:dyDescent="0.25">
      <c r="A216" s="12">
        <v>32514</v>
      </c>
      <c r="B216" s="13">
        <v>0</v>
      </c>
      <c r="C216" s="12"/>
      <c r="D216" s="13">
        <v>3983</v>
      </c>
      <c r="E216" s="12">
        <v>1</v>
      </c>
      <c r="F216" s="13" cm="1">
        <f t="array" ref="F216">IFERROR(atlaide(E216,B216),"Kluda!")</f>
        <v>0</v>
      </c>
      <c r="G216" s="13"/>
      <c r="H216" s="12">
        <v>13</v>
      </c>
      <c r="I216" s="12"/>
      <c r="J216" s="13" cm="1">
        <f t="array" ref="J216">palidzibas_d(H216,I216)</f>
        <v>0</v>
      </c>
      <c r="K216" s="13">
        <f>IFERROR(('Invoice Data'!$B216+'Invoice Data'!$D216-'Invoice Data'!$F216-'Invoice Data'!$J216+'Invoice Data'!$G216),"Kluda!")</f>
        <v>3983</v>
      </c>
      <c r="L216" s="13">
        <v>0</v>
      </c>
      <c r="M216" s="14" cm="1">
        <f t="array" ref="M216">IFERROR(jauna_bil(D216,F216,J216,B216,L216),"Kluda!")</f>
        <v>3983</v>
      </c>
    </row>
    <row r="217" spans="1:13" x14ac:dyDescent="0.25">
      <c r="A217" s="12">
        <v>32523</v>
      </c>
      <c r="B217" s="13">
        <v>0</v>
      </c>
      <c r="C217" s="12"/>
      <c r="D217" s="13">
        <v>7547</v>
      </c>
      <c r="E217" s="12">
        <v>2</v>
      </c>
      <c r="F217" s="13" cm="1">
        <f t="array" ref="F217">IFERROR(atlaide(E217,B217),"Kluda!")</f>
        <v>0</v>
      </c>
      <c r="G217" s="13"/>
      <c r="H217" s="12">
        <v>3</v>
      </c>
      <c r="I217" s="12"/>
      <c r="J217" s="13" cm="1">
        <f t="array" ref="J217">palidzibas_d(H217,I217)</f>
        <v>0</v>
      </c>
      <c r="K217" s="13">
        <f>IFERROR(('Invoice Data'!$B217+'Invoice Data'!$D217-'Invoice Data'!$F217-'Invoice Data'!$J217+'Invoice Data'!$G217),"Kluda!")</f>
        <v>7547</v>
      </c>
      <c r="L217" s="13">
        <v>0</v>
      </c>
      <c r="M217" s="14" cm="1">
        <f t="array" ref="M217">IFERROR(jauna_bil(D217,F217,J217,B217,L217),"Kluda!")</f>
        <v>7547</v>
      </c>
    </row>
    <row r="218" spans="1:13" x14ac:dyDescent="0.25">
      <c r="A218" s="12">
        <v>32550</v>
      </c>
      <c r="B218" s="13">
        <v>0</v>
      </c>
      <c r="C218" s="12"/>
      <c r="D218" s="13">
        <v>7500</v>
      </c>
      <c r="E218" s="12">
        <v>2</v>
      </c>
      <c r="F218" s="13" cm="1">
        <f t="array" ref="F218">IFERROR(atlaide(E218,B218),"Kluda!")</f>
        <v>0</v>
      </c>
      <c r="G218" s="13"/>
      <c r="H218" s="12">
        <v>16</v>
      </c>
      <c r="I218" s="12"/>
      <c r="J218" s="13" cm="1">
        <f t="array" ref="J218">palidzibas_d(H218,I218)</f>
        <v>0</v>
      </c>
      <c r="K218" s="13">
        <f>IFERROR(('Invoice Data'!$B218+'Invoice Data'!$D218-'Invoice Data'!$F218-'Invoice Data'!$J218+'Invoice Data'!$G218),"Kluda!")</f>
        <v>7500</v>
      </c>
      <c r="L218" s="13">
        <v>0</v>
      </c>
      <c r="M218" s="14" cm="1">
        <f t="array" ref="M218">IFERROR(jauna_bil(D218,F218,J218,B218,L218),"Kluda!")</f>
        <v>7500</v>
      </c>
    </row>
    <row r="219" spans="1:13" x14ac:dyDescent="0.25">
      <c r="A219" s="12">
        <v>32569</v>
      </c>
      <c r="B219" s="13">
        <v>0</v>
      </c>
      <c r="C219" s="12"/>
      <c r="D219" s="13">
        <v>3306</v>
      </c>
      <c r="E219" s="12">
        <v>1</v>
      </c>
      <c r="F219" s="13" cm="1">
        <f t="array" ref="F219">IFERROR(atlaide(E219,B219),"Kluda!")</f>
        <v>0</v>
      </c>
      <c r="G219" s="13"/>
      <c r="H219" s="12">
        <v>9</v>
      </c>
      <c r="I219" s="12"/>
      <c r="J219" s="13" cm="1">
        <f t="array" ref="J219">palidzibas_d(H219,I219)</f>
        <v>0</v>
      </c>
      <c r="K219" s="13">
        <f>IFERROR(('Invoice Data'!$B219+'Invoice Data'!$D219-'Invoice Data'!$F219-'Invoice Data'!$J219+'Invoice Data'!$G219),"Kluda!")</f>
        <v>3306</v>
      </c>
      <c r="L219" s="13">
        <v>0</v>
      </c>
      <c r="M219" s="14" cm="1">
        <f t="array" ref="M219">IFERROR(jauna_bil(D219,F219,J219,B219,L219),"Kluda!")</f>
        <v>3306</v>
      </c>
    </row>
    <row r="220" spans="1:13" x14ac:dyDescent="0.25">
      <c r="A220" s="12">
        <v>32578</v>
      </c>
      <c r="B220" s="13">
        <v>0</v>
      </c>
      <c r="C220" s="12"/>
      <c r="D220" s="13">
        <v>5216</v>
      </c>
      <c r="E220" s="12">
        <v>1</v>
      </c>
      <c r="F220" s="13" cm="1">
        <f t="array" ref="F220">IFERROR(atlaide(E220,B220),"Kluda!")</f>
        <v>0</v>
      </c>
      <c r="G220" s="13"/>
      <c r="H220" s="12">
        <v>3</v>
      </c>
      <c r="I220" s="12"/>
      <c r="J220" s="13" cm="1">
        <f t="array" ref="J220">palidzibas_d(H220,I220)</f>
        <v>0</v>
      </c>
      <c r="K220" s="13">
        <f>IFERROR(('Invoice Data'!$B220+'Invoice Data'!$D220-'Invoice Data'!$F220-'Invoice Data'!$J220+'Invoice Data'!$G220),"Kluda!")</f>
        <v>5216</v>
      </c>
      <c r="L220" s="13">
        <v>0</v>
      </c>
      <c r="M220" s="14" cm="1">
        <f t="array" ref="M220">IFERROR(jauna_bil(D220,F220,J220,B220,L220),"Kluda!")</f>
        <v>5216</v>
      </c>
    </row>
    <row r="221" spans="1:13" x14ac:dyDescent="0.25">
      <c r="A221" s="12">
        <v>32587</v>
      </c>
      <c r="B221" s="13">
        <v>0</v>
      </c>
      <c r="C221" s="12"/>
      <c r="D221" s="13">
        <v>6295</v>
      </c>
      <c r="E221" s="12">
        <v>2</v>
      </c>
      <c r="F221" s="13" cm="1">
        <f t="array" ref="F221">IFERROR(atlaide(E221,B221),"Kluda!")</f>
        <v>0</v>
      </c>
      <c r="G221" s="13"/>
      <c r="H221" s="12">
        <v>11</v>
      </c>
      <c r="I221" s="12"/>
      <c r="J221" s="13" cm="1">
        <f t="array" ref="J221">palidzibas_d(H221,I221)</f>
        <v>0</v>
      </c>
      <c r="K221" s="13">
        <f>IFERROR(('Invoice Data'!$B221+'Invoice Data'!$D221-'Invoice Data'!$F221-'Invoice Data'!$J221+'Invoice Data'!$G221),"Kluda!")</f>
        <v>6295</v>
      </c>
      <c r="L221" s="13">
        <v>0</v>
      </c>
      <c r="M221" s="14" cm="1">
        <f t="array" ref="M221">IFERROR(jauna_bil(D221,F221,J221,B221,L221),"Kluda!")</f>
        <v>6295</v>
      </c>
    </row>
    <row r="222" spans="1:13" x14ac:dyDescent="0.25">
      <c r="A222" s="12">
        <v>32596</v>
      </c>
      <c r="B222" s="13">
        <v>0</v>
      </c>
      <c r="C222" s="12"/>
      <c r="D222" s="13">
        <v>5009</v>
      </c>
      <c r="E222" s="12">
        <v>1</v>
      </c>
      <c r="F222" s="13" cm="1">
        <f t="array" ref="F222">IFERROR(atlaide(E222,B222),"Kluda!")</f>
        <v>0</v>
      </c>
      <c r="G222" s="13"/>
      <c r="H222" s="12">
        <v>0</v>
      </c>
      <c r="I222" s="12"/>
      <c r="J222" s="13" cm="1">
        <f t="array" ref="J222">palidzibas_d(H222,I222)</f>
        <v>0</v>
      </c>
      <c r="K222" s="13">
        <f>IFERROR(('Invoice Data'!$B222+'Invoice Data'!$D222-'Invoice Data'!$F222-'Invoice Data'!$J222+'Invoice Data'!$G222),"Kluda!")</f>
        <v>5009</v>
      </c>
      <c r="L222" s="13">
        <v>0</v>
      </c>
      <c r="M222" s="14" cm="1">
        <f t="array" ref="M222">IFERROR(jauna_bil(D222,F222,J222,B222,L222),"Kluda!")</f>
        <v>5009</v>
      </c>
    </row>
    <row r="223" spans="1:13" x14ac:dyDescent="0.25">
      <c r="A223" s="12">
        <v>32603</v>
      </c>
      <c r="B223" s="13">
        <v>0</v>
      </c>
      <c r="C223" s="12"/>
      <c r="D223" s="13">
        <v>9060</v>
      </c>
      <c r="E223" s="12">
        <v>2</v>
      </c>
      <c r="F223" s="13" cm="1">
        <f t="array" ref="F223">IFERROR(atlaide(E223,B223),"Kluda!")</f>
        <v>0</v>
      </c>
      <c r="G223" s="13"/>
      <c r="H223" s="12">
        <v>1</v>
      </c>
      <c r="I223" s="12"/>
      <c r="J223" s="13" cm="1">
        <f t="array" ref="J223">palidzibas_d(H223,I223)</f>
        <v>0</v>
      </c>
      <c r="K223" s="13">
        <f>IFERROR(('Invoice Data'!$B223+'Invoice Data'!$D223-'Invoice Data'!$F223-'Invoice Data'!$J223+'Invoice Data'!$G223),"Kluda!")</f>
        <v>9060</v>
      </c>
      <c r="L223" s="13">
        <v>0</v>
      </c>
      <c r="M223" s="14" cm="1">
        <f t="array" ref="M223">IFERROR(jauna_bil(D223,F223,J223,B223,L223),"Kluda!")</f>
        <v>9060</v>
      </c>
    </row>
    <row r="224" spans="1:13" x14ac:dyDescent="0.25">
      <c r="A224" s="12">
        <v>32612</v>
      </c>
      <c r="B224" s="13">
        <v>0</v>
      </c>
      <c r="C224" s="12"/>
      <c r="D224" s="13">
        <v>7485</v>
      </c>
      <c r="E224" s="12">
        <v>2</v>
      </c>
      <c r="F224" s="13" cm="1">
        <f t="array" ref="F224">IFERROR(atlaide(E224,B224),"Kluda!")</f>
        <v>0</v>
      </c>
      <c r="G224" s="13"/>
      <c r="H224" s="12">
        <v>0</v>
      </c>
      <c r="I224" s="12" t="b">
        <v>1</v>
      </c>
      <c r="J224" s="13" cm="1">
        <f t="array" ref="J224">palidzibas_d(H224,I224)</f>
        <v>0</v>
      </c>
      <c r="K224" s="13">
        <f>IFERROR(('Invoice Data'!$B224+'Invoice Data'!$D224-'Invoice Data'!$F224-'Invoice Data'!$J224+'Invoice Data'!$G224),"Kluda!")</f>
        <v>7485</v>
      </c>
      <c r="L224" s="13">
        <v>0</v>
      </c>
      <c r="M224" s="14" cm="1">
        <f t="array" ref="M224">IFERROR(jauna_bil(D224,F224,J224,B224,L224),"Kluda!")</f>
        <v>7485</v>
      </c>
    </row>
    <row r="225" spans="1:13" x14ac:dyDescent="0.25">
      <c r="A225" s="12">
        <v>32621</v>
      </c>
      <c r="B225" s="13">
        <v>0</v>
      </c>
      <c r="C225" s="12"/>
      <c r="D225" s="13">
        <v>7290</v>
      </c>
      <c r="E225" s="12">
        <v>2</v>
      </c>
      <c r="F225" s="13" cm="1">
        <f t="array" ref="F225">IFERROR(atlaide(E225,B225),"Kluda!")</f>
        <v>0</v>
      </c>
      <c r="G225" s="13"/>
      <c r="H225" s="12">
        <v>6</v>
      </c>
      <c r="I225" s="12"/>
      <c r="J225" s="13" cm="1">
        <f t="array" ref="J225">palidzibas_d(H225,I225)</f>
        <v>0</v>
      </c>
      <c r="K225" s="13">
        <f>IFERROR(('Invoice Data'!$B225+'Invoice Data'!$D225-'Invoice Data'!$F225-'Invoice Data'!$J225+'Invoice Data'!$G225),"Kluda!")</f>
        <v>7290</v>
      </c>
      <c r="L225" s="13">
        <v>0</v>
      </c>
      <c r="M225" s="14" cm="1">
        <f t="array" ref="M225">IFERROR(jauna_bil(D225,F225,J225,B225,L225),"Kluda!")</f>
        <v>7290</v>
      </c>
    </row>
    <row r="226" spans="1:13" x14ac:dyDescent="0.25">
      <c r="A226" s="12">
        <v>32630</v>
      </c>
      <c r="B226" s="13">
        <v>0</v>
      </c>
      <c r="C226" s="12"/>
      <c r="D226" s="13">
        <v>5263</v>
      </c>
      <c r="E226" s="12">
        <v>1</v>
      </c>
      <c r="F226" s="13" cm="1">
        <f t="array" ref="F226">IFERROR(atlaide(E226,B226),"Kluda!")</f>
        <v>0</v>
      </c>
      <c r="G226" s="13"/>
      <c r="H226" s="12">
        <v>2</v>
      </c>
      <c r="I226" s="12"/>
      <c r="J226" s="13" cm="1">
        <f t="array" ref="J226">palidzibas_d(H226,I226)</f>
        <v>0</v>
      </c>
      <c r="K226" s="13">
        <f>IFERROR(('Invoice Data'!$B226+'Invoice Data'!$D226-'Invoice Data'!$F226-'Invoice Data'!$J226+'Invoice Data'!$G226),"Kluda!")</f>
        <v>5263</v>
      </c>
      <c r="L226" s="13">
        <v>0</v>
      </c>
      <c r="M226" s="14" cm="1">
        <f t="array" ref="M226">IFERROR(jauna_bil(D226,F226,J226,B226,L226),"Kluda!")</f>
        <v>5263</v>
      </c>
    </row>
    <row r="227" spans="1:13" x14ac:dyDescent="0.25">
      <c r="A227" s="12">
        <v>32649</v>
      </c>
      <c r="B227" s="13">
        <v>0</v>
      </c>
      <c r="C227" s="12"/>
      <c r="D227" s="13">
        <v>10464</v>
      </c>
      <c r="E227" s="12">
        <v>2</v>
      </c>
      <c r="F227" s="13" cm="1">
        <f t="array" ref="F227">IFERROR(atlaide(E227,B227),"Kluda!")</f>
        <v>0</v>
      </c>
      <c r="G227" s="13"/>
      <c r="H227" s="12">
        <v>10</v>
      </c>
      <c r="I227" s="12"/>
      <c r="J227" s="13" cm="1">
        <f t="array" ref="J227">palidzibas_d(H227,I227)</f>
        <v>0</v>
      </c>
      <c r="K227" s="13">
        <f>IFERROR(('Invoice Data'!$B227+'Invoice Data'!$D227-'Invoice Data'!$F227-'Invoice Data'!$J227+'Invoice Data'!$G227),"Kluda!")</f>
        <v>10464</v>
      </c>
      <c r="L227" s="13">
        <v>0</v>
      </c>
      <c r="M227" s="14" cm="1">
        <f t="array" ref="M227">IFERROR(jauna_bil(D227,F227,J227,B227,L227),"Kluda!")</f>
        <v>10464</v>
      </c>
    </row>
    <row r="228" spans="1:13" x14ac:dyDescent="0.25">
      <c r="A228" s="12">
        <v>32658</v>
      </c>
      <c r="B228" s="13">
        <v>0</v>
      </c>
      <c r="C228" s="12"/>
      <c r="D228" s="13">
        <v>9659</v>
      </c>
      <c r="E228" s="12">
        <v>2</v>
      </c>
      <c r="F228" s="13" cm="1">
        <f t="array" ref="F228">IFERROR(atlaide(E228,B228),"Kluda!")</f>
        <v>0</v>
      </c>
      <c r="G228" s="13"/>
      <c r="H228" s="12">
        <v>4</v>
      </c>
      <c r="I228" s="12"/>
      <c r="J228" s="13" cm="1">
        <f t="array" ref="J228">palidzibas_d(H228,I228)</f>
        <v>0</v>
      </c>
      <c r="K228" s="13">
        <f>IFERROR(('Invoice Data'!$B228+'Invoice Data'!$D228-'Invoice Data'!$F228-'Invoice Data'!$J228+'Invoice Data'!$G228),"Kluda!")</f>
        <v>9659</v>
      </c>
      <c r="L228" s="13">
        <v>0</v>
      </c>
      <c r="M228" s="14" cm="1">
        <f t="array" ref="M228">IFERROR(jauna_bil(D228,F228,J228,B228,L228),"Kluda!")</f>
        <v>9659</v>
      </c>
    </row>
    <row r="229" spans="1:13" x14ac:dyDescent="0.25">
      <c r="A229" s="12">
        <v>32667</v>
      </c>
      <c r="B229" s="13">
        <v>0</v>
      </c>
      <c r="C229" s="12"/>
      <c r="D229" s="13">
        <v>4420</v>
      </c>
      <c r="E229" s="12">
        <v>1</v>
      </c>
      <c r="F229" s="13" cm="1">
        <f t="array" ref="F229">IFERROR(atlaide(E229,B229),"Kluda!")</f>
        <v>0</v>
      </c>
      <c r="G229" s="13"/>
      <c r="H229" s="12">
        <v>4</v>
      </c>
      <c r="I229" s="12"/>
      <c r="J229" s="13" cm="1">
        <f t="array" ref="J229">palidzibas_d(H229,I229)</f>
        <v>0</v>
      </c>
      <c r="K229" s="13">
        <f>IFERROR(('Invoice Data'!$B229+'Invoice Data'!$D229-'Invoice Data'!$F229-'Invoice Data'!$J229+'Invoice Data'!$G229),"Kluda!")</f>
        <v>4420</v>
      </c>
      <c r="L229" s="13">
        <v>0</v>
      </c>
      <c r="M229" s="14" cm="1">
        <f t="array" ref="M229">IFERROR(jauna_bil(D229,F229,J229,B229,L229),"Kluda!")</f>
        <v>4420</v>
      </c>
    </row>
    <row r="230" spans="1:13" x14ac:dyDescent="0.25">
      <c r="A230" s="12">
        <v>32676</v>
      </c>
      <c r="B230" s="13">
        <v>-1011</v>
      </c>
      <c r="C230" s="12" t="s">
        <v>2</v>
      </c>
      <c r="D230" s="13">
        <v>4155</v>
      </c>
      <c r="E230" s="12">
        <v>1</v>
      </c>
      <c r="F230" s="13" cm="1">
        <f t="array" ref="F230">IFERROR(atlaide(E230,B230),"Kluda!")</f>
        <v>-30.33</v>
      </c>
      <c r="G230" s="13"/>
      <c r="H230" s="12">
        <v>4</v>
      </c>
      <c r="I230" s="12"/>
      <c r="J230" s="13" cm="1">
        <f t="array" ref="J230">palidzibas_d(H230,I230)</f>
        <v>0</v>
      </c>
      <c r="K230" s="13">
        <f>IFERROR(('Invoice Data'!$B230+'Invoice Data'!$D230-'Invoice Data'!$F230-'Invoice Data'!$J230+'Invoice Data'!$G230),"Kluda!")</f>
        <v>3174.33</v>
      </c>
      <c r="L230" s="13">
        <v>0</v>
      </c>
      <c r="M230" s="14" cm="1">
        <f t="array" ref="M230">IFERROR(jauna_bil(D230,F230,J230,B230,L230),"Kluda!")</f>
        <v>5196.33</v>
      </c>
    </row>
    <row r="231" spans="1:13" x14ac:dyDescent="0.25">
      <c r="A231" s="12">
        <v>32694</v>
      </c>
      <c r="B231" s="13">
        <v>0</v>
      </c>
      <c r="C231" s="12"/>
      <c r="D231" s="13">
        <v>3241</v>
      </c>
      <c r="E231" s="12">
        <v>1</v>
      </c>
      <c r="F231" s="13" cm="1">
        <f t="array" ref="F231">IFERROR(atlaide(E231,B231),"Kluda!")</f>
        <v>0</v>
      </c>
      <c r="G231" s="13"/>
      <c r="H231" s="12">
        <v>1</v>
      </c>
      <c r="I231" s="12"/>
      <c r="J231" s="13" cm="1">
        <f t="array" ref="J231">palidzibas_d(H231,I231)</f>
        <v>0</v>
      </c>
      <c r="K231" s="13">
        <f>IFERROR(('Invoice Data'!$B231+'Invoice Data'!$D231-'Invoice Data'!$F231-'Invoice Data'!$J231+'Invoice Data'!$G231),"Kluda!")</f>
        <v>3241</v>
      </c>
      <c r="L231" s="13">
        <v>0</v>
      </c>
      <c r="M231" s="14" cm="1">
        <f t="array" ref="M231">IFERROR(jauna_bil(D231,F231,J231,B231,L231),"Kluda!")</f>
        <v>3241</v>
      </c>
    </row>
    <row r="232" spans="1:13" x14ac:dyDescent="0.25">
      <c r="A232" s="12">
        <v>32701</v>
      </c>
      <c r="B232" s="13">
        <v>0</v>
      </c>
      <c r="C232" s="12"/>
      <c r="D232" s="13">
        <v>10020</v>
      </c>
      <c r="E232" s="12">
        <v>2</v>
      </c>
      <c r="F232" s="13" cm="1">
        <f t="array" ref="F232">IFERROR(atlaide(E232,B232),"Kluda!")</f>
        <v>0</v>
      </c>
      <c r="G232" s="13"/>
      <c r="H232" s="12">
        <v>16</v>
      </c>
      <c r="I232" s="12"/>
      <c r="J232" s="13" cm="1">
        <f t="array" ref="J232">palidzibas_d(H232,I232)</f>
        <v>0</v>
      </c>
      <c r="K232" s="13">
        <f>IFERROR(('Invoice Data'!$B232+'Invoice Data'!$D232-'Invoice Data'!$F232-'Invoice Data'!$J232+'Invoice Data'!$G232),"Kluda!")</f>
        <v>10020</v>
      </c>
      <c r="L232" s="13">
        <v>0</v>
      </c>
      <c r="M232" s="14" cm="1">
        <f t="array" ref="M232">IFERROR(jauna_bil(D232,F232,J232,B232,L232),"Kluda!")</f>
        <v>10020</v>
      </c>
    </row>
    <row r="233" spans="1:13" x14ac:dyDescent="0.25">
      <c r="A233" s="12">
        <v>32710</v>
      </c>
      <c r="B233" s="13">
        <v>0</v>
      </c>
      <c r="C233" s="12"/>
      <c r="D233" s="13">
        <v>6865</v>
      </c>
      <c r="E233" s="12">
        <v>0</v>
      </c>
      <c r="F233" s="13" cm="1">
        <f t="array" ref="F233">IFERROR(atlaide(E233,B233),"Kluda!")</f>
        <v>0</v>
      </c>
      <c r="G233" s="13"/>
      <c r="H233" s="12">
        <v>6</v>
      </c>
      <c r="I233" s="12"/>
      <c r="J233" s="13" cm="1">
        <f t="array" ref="J233">palidzibas_d(H233,I233)</f>
        <v>0</v>
      </c>
      <c r="K233" s="13">
        <f>IFERROR(('Invoice Data'!$B233+'Invoice Data'!$D233-'Invoice Data'!$F233-'Invoice Data'!$J233+'Invoice Data'!$G233),"Kluda!")</f>
        <v>6865</v>
      </c>
      <c r="L233" s="13">
        <v>0</v>
      </c>
      <c r="M233" s="14" cm="1">
        <f t="array" ref="M233">IFERROR(jauna_bil(D233,F233,J233,B233,L233),"Kluda!")</f>
        <v>6865</v>
      </c>
    </row>
    <row r="234" spans="1:13" x14ac:dyDescent="0.25">
      <c r="A234" s="12">
        <v>32729</v>
      </c>
      <c r="B234" s="13">
        <v>0</v>
      </c>
      <c r="C234" s="12"/>
      <c r="D234" s="13">
        <v>7404</v>
      </c>
      <c r="E234" s="12">
        <v>2</v>
      </c>
      <c r="F234" s="13" cm="1">
        <f t="array" ref="F234">IFERROR(atlaide(E234,B234),"Kluda!")</f>
        <v>0</v>
      </c>
      <c r="G234" s="13"/>
      <c r="H234" s="12">
        <v>2</v>
      </c>
      <c r="I234" s="12"/>
      <c r="J234" s="13" cm="1">
        <f t="array" ref="J234">palidzibas_d(H234,I234)</f>
        <v>0</v>
      </c>
      <c r="K234" s="13">
        <f>IFERROR(('Invoice Data'!$B234+'Invoice Data'!$D234-'Invoice Data'!$F234-'Invoice Data'!$J234+'Invoice Data'!$G234),"Kluda!")</f>
        <v>7404</v>
      </c>
      <c r="L234" s="13">
        <v>0</v>
      </c>
      <c r="M234" s="14" cm="1">
        <f t="array" ref="M234">IFERROR(jauna_bil(D234,F234,J234,B234,L234),"Kluda!")</f>
        <v>7404</v>
      </c>
    </row>
    <row r="235" spans="1:13" x14ac:dyDescent="0.25">
      <c r="A235" s="12">
        <v>32738</v>
      </c>
      <c r="B235" s="13">
        <v>0</v>
      </c>
      <c r="C235" s="12"/>
      <c r="D235" s="13">
        <v>6752</v>
      </c>
      <c r="E235" s="12">
        <v>2</v>
      </c>
      <c r="F235" s="13" cm="1">
        <f t="array" ref="F235">IFERROR(atlaide(E235,B235),"Kluda!")</f>
        <v>0</v>
      </c>
      <c r="G235" s="13"/>
      <c r="H235" s="12">
        <v>14</v>
      </c>
      <c r="I235" s="12"/>
      <c r="J235" s="13" cm="1">
        <f t="array" ref="J235">palidzibas_d(H235,I235)</f>
        <v>0</v>
      </c>
      <c r="K235" s="13">
        <f>IFERROR(('Invoice Data'!$B235+'Invoice Data'!$D235-'Invoice Data'!$F235-'Invoice Data'!$J235+'Invoice Data'!$G235),"Kluda!")</f>
        <v>6752</v>
      </c>
      <c r="L235" s="13">
        <v>0</v>
      </c>
      <c r="M235" s="14" cm="1">
        <f t="array" ref="M235">IFERROR(jauna_bil(D235,F235,J235,B235,L235),"Kluda!")</f>
        <v>6752</v>
      </c>
    </row>
    <row r="236" spans="1:13" x14ac:dyDescent="0.25">
      <c r="A236" s="12">
        <v>32747</v>
      </c>
      <c r="B236" s="13">
        <v>0</v>
      </c>
      <c r="C236" s="12"/>
      <c r="D236" s="13">
        <v>9491</v>
      </c>
      <c r="E236" s="12">
        <v>2</v>
      </c>
      <c r="F236" s="13" cm="1">
        <f t="array" ref="F236">IFERROR(atlaide(E236,B236),"Kluda!")</f>
        <v>0</v>
      </c>
      <c r="G236" s="13"/>
      <c r="H236" s="12">
        <v>12</v>
      </c>
      <c r="I236" s="12"/>
      <c r="J236" s="13" cm="1">
        <f t="array" ref="J236">palidzibas_d(H236,I236)</f>
        <v>0</v>
      </c>
      <c r="K236" s="13">
        <f>IFERROR(('Invoice Data'!$B236+'Invoice Data'!$D236-'Invoice Data'!$F236-'Invoice Data'!$J236+'Invoice Data'!$G236),"Kluda!")</f>
        <v>9491</v>
      </c>
      <c r="L236" s="13">
        <v>0</v>
      </c>
      <c r="M236" s="14" cm="1">
        <f t="array" ref="M236">IFERROR(jauna_bil(D236,F236,J236,B236,L236),"Kluda!")</f>
        <v>9491</v>
      </c>
    </row>
    <row r="237" spans="1:13" x14ac:dyDescent="0.25">
      <c r="A237" s="12">
        <v>32756</v>
      </c>
      <c r="B237" s="13">
        <v>0</v>
      </c>
      <c r="C237" s="12"/>
      <c r="D237" s="13">
        <v>9967</v>
      </c>
      <c r="E237" s="12">
        <v>-1</v>
      </c>
      <c r="F237" s="13" t="str" cm="1">
        <f t="array" ref="F237">IFERROR(atlaide(E237,B237),"Kluda!")</f>
        <v>Kluda!</v>
      </c>
      <c r="G237" s="13"/>
      <c r="H237" s="12">
        <v>15</v>
      </c>
      <c r="I237" s="12"/>
      <c r="J237" s="13" cm="1">
        <f t="array" ref="J237">palidzibas_d(H237,I237)</f>
        <v>0</v>
      </c>
      <c r="K237" s="13" t="str">
        <f>IFERROR(('Invoice Data'!$B237+'Invoice Data'!$D237-'Invoice Data'!$F237-'Invoice Data'!$J237+'Invoice Data'!$G237),"Kluda!")</f>
        <v>Kluda!</v>
      </c>
      <c r="L237" s="13">
        <v>0</v>
      </c>
      <c r="M237" s="14" t="str" cm="1">
        <f t="array" ref="M237">IFERROR(jauna_bil(D237,F237,J237,B237,L237),"Kluda!")</f>
        <v>Kluda!</v>
      </c>
    </row>
    <row r="238" spans="1:13" x14ac:dyDescent="0.25">
      <c r="A238" s="12">
        <v>32765</v>
      </c>
      <c r="B238" s="13">
        <v>0</v>
      </c>
      <c r="C238" s="12"/>
      <c r="D238" s="13">
        <v>6986</v>
      </c>
      <c r="E238" s="12">
        <v>2</v>
      </c>
      <c r="F238" s="13" cm="1">
        <f t="array" ref="F238">IFERROR(atlaide(E238,B238),"Kluda!")</f>
        <v>0</v>
      </c>
      <c r="G238" s="13"/>
      <c r="H238" s="12">
        <v>10</v>
      </c>
      <c r="I238" s="12"/>
      <c r="J238" s="13" cm="1">
        <f t="array" ref="J238">palidzibas_d(H238,I238)</f>
        <v>0</v>
      </c>
      <c r="K238" s="13">
        <f>IFERROR(('Invoice Data'!$B238+'Invoice Data'!$D238-'Invoice Data'!$F238-'Invoice Data'!$J238+'Invoice Data'!$G238),"Kluda!")</f>
        <v>6986</v>
      </c>
      <c r="L238" s="13">
        <v>0</v>
      </c>
      <c r="M238" s="14" cm="1">
        <f t="array" ref="M238">IFERROR(jauna_bil(D238,F238,J238,B238,L238),"Kluda!")</f>
        <v>6986</v>
      </c>
    </row>
    <row r="239" spans="1:13" x14ac:dyDescent="0.25">
      <c r="A239" s="12">
        <v>32774</v>
      </c>
      <c r="B239" s="13">
        <v>0</v>
      </c>
      <c r="C239" s="12"/>
      <c r="D239" s="13">
        <v>7973</v>
      </c>
      <c r="E239" s="12">
        <v>2</v>
      </c>
      <c r="F239" s="13" cm="1">
        <f t="array" ref="F239">IFERROR(atlaide(E239,B239),"Kluda!")</f>
        <v>0</v>
      </c>
      <c r="G239" s="13"/>
      <c r="H239" s="12">
        <v>3</v>
      </c>
      <c r="I239" s="12"/>
      <c r="J239" s="13" cm="1">
        <f t="array" ref="J239">palidzibas_d(H239,I239)</f>
        <v>0</v>
      </c>
      <c r="K239" s="13">
        <f>IFERROR(('Invoice Data'!$B239+'Invoice Data'!$D239-'Invoice Data'!$F239-'Invoice Data'!$J239+'Invoice Data'!$G239),"Kluda!")</f>
        <v>7973</v>
      </c>
      <c r="L239" s="13">
        <v>0</v>
      </c>
      <c r="M239" s="14" cm="1">
        <f t="array" ref="M239">IFERROR(jauna_bil(D239,F239,J239,B239,L239),"Kluda!")</f>
        <v>7973</v>
      </c>
    </row>
    <row r="240" spans="1:13" x14ac:dyDescent="0.25">
      <c r="A240" s="12">
        <v>32783</v>
      </c>
      <c r="B240" s="13">
        <v>0</v>
      </c>
      <c r="C240" s="12"/>
      <c r="D240" s="13">
        <v>4722</v>
      </c>
      <c r="E240" s="12">
        <v>1</v>
      </c>
      <c r="F240" s="13" cm="1">
        <f t="array" ref="F240">IFERROR(atlaide(E240,B240),"Kluda!")</f>
        <v>0</v>
      </c>
      <c r="G240" s="13"/>
      <c r="H240" s="12">
        <v>5</v>
      </c>
      <c r="I240" s="12"/>
      <c r="J240" s="13" cm="1">
        <f t="array" ref="J240">palidzibas_d(H240,I240)</f>
        <v>0</v>
      </c>
      <c r="K240" s="13">
        <f>IFERROR(('Invoice Data'!$B240+'Invoice Data'!$D240-'Invoice Data'!$F240-'Invoice Data'!$J240+'Invoice Data'!$G240),"Kluda!")</f>
        <v>4722</v>
      </c>
      <c r="L240" s="13">
        <v>0</v>
      </c>
      <c r="M240" s="14" cm="1">
        <f t="array" ref="M240">IFERROR(jauna_bil(D240,F240,J240,B240,L240),"Kluda!")</f>
        <v>4722</v>
      </c>
    </row>
    <row r="241" spans="1:13" x14ac:dyDescent="0.25">
      <c r="A241" s="12">
        <v>32792</v>
      </c>
      <c r="B241" s="13">
        <v>0</v>
      </c>
      <c r="C241" s="12"/>
      <c r="D241" s="13">
        <v>5585</v>
      </c>
      <c r="E241" s="12">
        <v>1</v>
      </c>
      <c r="F241" s="13" cm="1">
        <f t="array" ref="F241">IFERROR(atlaide(E241,B241),"Kluda!")</f>
        <v>0</v>
      </c>
      <c r="G241" s="13"/>
      <c r="H241" s="12">
        <v>1</v>
      </c>
      <c r="I241" s="12"/>
      <c r="J241" s="13" cm="1">
        <f t="array" ref="J241">palidzibas_d(H241,I241)</f>
        <v>0</v>
      </c>
      <c r="K241" s="13">
        <f>IFERROR(('Invoice Data'!$B241+'Invoice Data'!$D241-'Invoice Data'!$F241-'Invoice Data'!$J241+'Invoice Data'!$G241),"Kluda!")</f>
        <v>5585</v>
      </c>
      <c r="L241" s="13">
        <v>0</v>
      </c>
      <c r="M241" s="14" cm="1">
        <f t="array" ref="M241">IFERROR(jauna_bil(D241,F241,J241,B241,L241),"Kluda!")</f>
        <v>5585</v>
      </c>
    </row>
    <row r="242" spans="1:13" x14ac:dyDescent="0.25">
      <c r="A242" s="12">
        <v>32809</v>
      </c>
      <c r="B242" s="13">
        <v>0</v>
      </c>
      <c r="C242" s="12"/>
      <c r="D242" s="13">
        <v>6477</v>
      </c>
      <c r="E242" s="12">
        <v>2</v>
      </c>
      <c r="F242" s="13" cm="1">
        <f t="array" ref="F242">IFERROR(atlaide(E242,B242),"Kluda!")</f>
        <v>0</v>
      </c>
      <c r="G242" s="13"/>
      <c r="H242" s="12">
        <v>7</v>
      </c>
      <c r="I242" s="12"/>
      <c r="J242" s="13" cm="1">
        <f t="array" ref="J242">palidzibas_d(H242,I242)</f>
        <v>0</v>
      </c>
      <c r="K242" s="13">
        <f>IFERROR(('Invoice Data'!$B242+'Invoice Data'!$D242-'Invoice Data'!$F242-'Invoice Data'!$J242+'Invoice Data'!$G242),"Kluda!")</f>
        <v>6477</v>
      </c>
      <c r="L242" s="13">
        <v>0</v>
      </c>
      <c r="M242" s="14" cm="1">
        <f t="array" ref="M242">IFERROR(jauna_bil(D242,F242,J242,B242,L242),"Kluda!")</f>
        <v>6477</v>
      </c>
    </row>
    <row r="243" spans="1:13" x14ac:dyDescent="0.25">
      <c r="A243" s="12">
        <v>32818</v>
      </c>
      <c r="B243" s="13">
        <v>0</v>
      </c>
      <c r="C243" s="12"/>
      <c r="D243" s="13">
        <v>8855</v>
      </c>
      <c r="E243" s="12">
        <v>2</v>
      </c>
      <c r="F243" s="13" cm="1">
        <f t="array" ref="F243">IFERROR(atlaide(E243,B243),"Kluda!")</f>
        <v>0</v>
      </c>
      <c r="G243" s="13"/>
      <c r="H243" s="12">
        <v>13</v>
      </c>
      <c r="I243" s="12"/>
      <c r="J243" s="13" cm="1">
        <f t="array" ref="J243">palidzibas_d(H243,I243)</f>
        <v>0</v>
      </c>
      <c r="K243" s="13">
        <f>IFERROR(('Invoice Data'!$B243+'Invoice Data'!$D243-'Invoice Data'!$F243-'Invoice Data'!$J243+'Invoice Data'!$G243),"Kluda!")</f>
        <v>8855</v>
      </c>
      <c r="L243" s="13">
        <v>0</v>
      </c>
      <c r="M243" s="14" cm="1">
        <f t="array" ref="M243">IFERROR(jauna_bil(D243,F243,J243,B243,L243),"Kluda!")</f>
        <v>8855</v>
      </c>
    </row>
    <row r="244" spans="1:13" x14ac:dyDescent="0.25">
      <c r="A244" s="12">
        <v>32827</v>
      </c>
      <c r="B244" s="13">
        <v>0</v>
      </c>
      <c r="C244" s="12"/>
      <c r="D244" s="13">
        <v>5175</v>
      </c>
      <c r="E244" s="12">
        <v>1</v>
      </c>
      <c r="F244" s="13" cm="1">
        <f t="array" ref="F244">IFERROR(atlaide(E244,B244),"Kluda!")</f>
        <v>0</v>
      </c>
      <c r="G244" s="13"/>
      <c r="H244" s="12">
        <v>9</v>
      </c>
      <c r="I244" s="12"/>
      <c r="J244" s="13" cm="1">
        <f t="array" ref="J244">palidzibas_d(H244,I244)</f>
        <v>0</v>
      </c>
      <c r="K244" s="13">
        <f>IFERROR(('Invoice Data'!$B244+'Invoice Data'!$D244-'Invoice Data'!$F244-'Invoice Data'!$J244+'Invoice Data'!$G244),"Kluda!")</f>
        <v>5175</v>
      </c>
      <c r="L244" s="13">
        <v>0</v>
      </c>
      <c r="M244" s="14" cm="1">
        <f t="array" ref="M244">IFERROR(jauna_bil(D244,F244,J244,B244,L244),"Kluda!")</f>
        <v>5175</v>
      </c>
    </row>
    <row r="245" spans="1:13" x14ac:dyDescent="0.25">
      <c r="A245" s="12">
        <v>32836</v>
      </c>
      <c r="B245" s="13">
        <v>0</v>
      </c>
      <c r="C245" s="12"/>
      <c r="D245" s="13">
        <v>9024</v>
      </c>
      <c r="E245" s="12">
        <v>2</v>
      </c>
      <c r="F245" s="13" cm="1">
        <f t="array" ref="F245">IFERROR(atlaide(E245,B245),"Kluda!")</f>
        <v>0</v>
      </c>
      <c r="G245" s="13"/>
      <c r="H245" s="12">
        <v>7</v>
      </c>
      <c r="I245" s="12"/>
      <c r="J245" s="13" cm="1">
        <f t="array" ref="J245">palidzibas_d(H245,I245)</f>
        <v>0</v>
      </c>
      <c r="K245" s="13">
        <f>IFERROR(('Invoice Data'!$B245+'Invoice Data'!$D245-'Invoice Data'!$F245-'Invoice Data'!$J245+'Invoice Data'!$G245),"Kluda!")</f>
        <v>9024</v>
      </c>
      <c r="L245" s="13">
        <v>0</v>
      </c>
      <c r="M245" s="14" cm="1">
        <f t="array" ref="M245">IFERROR(jauna_bil(D245,F245,J245,B245,L245),"Kluda!")</f>
        <v>9024</v>
      </c>
    </row>
    <row r="246" spans="1:13" x14ac:dyDescent="0.25">
      <c r="A246" s="12">
        <v>32845</v>
      </c>
      <c r="B246" s="13">
        <v>0</v>
      </c>
      <c r="C246" s="12"/>
      <c r="D246" s="13">
        <v>4679</v>
      </c>
      <c r="E246" s="12">
        <v>1</v>
      </c>
      <c r="F246" s="13" cm="1">
        <f t="array" ref="F246">IFERROR(atlaide(E246,B246),"Kluda!")</f>
        <v>0</v>
      </c>
      <c r="G246" s="13"/>
      <c r="H246" s="12">
        <v>14</v>
      </c>
      <c r="I246" s="12"/>
      <c r="J246" s="13" cm="1">
        <f t="array" ref="J246">palidzibas_d(H246,I246)</f>
        <v>0</v>
      </c>
      <c r="K246" s="13">
        <f>IFERROR(('Invoice Data'!$B246+'Invoice Data'!$D246-'Invoice Data'!$F246-'Invoice Data'!$J246+'Invoice Data'!$G246),"Kluda!")</f>
        <v>4679</v>
      </c>
      <c r="L246" s="13">
        <v>0</v>
      </c>
      <c r="M246" s="14" cm="1">
        <f t="array" ref="M246">IFERROR(jauna_bil(D246,F246,J246,B246,L246),"Kluda!")</f>
        <v>4679</v>
      </c>
    </row>
    <row r="247" spans="1:13" x14ac:dyDescent="0.25">
      <c r="A247" s="12">
        <v>32854</v>
      </c>
      <c r="B247" s="13">
        <v>0</v>
      </c>
      <c r="C247" s="12"/>
      <c r="D247" s="13">
        <v>8746</v>
      </c>
      <c r="E247" s="12">
        <v>2</v>
      </c>
      <c r="F247" s="13" cm="1">
        <f t="array" ref="F247">IFERROR(atlaide(E247,B247),"Kluda!")</f>
        <v>0</v>
      </c>
      <c r="G247" s="13"/>
      <c r="H247" s="12">
        <v>13</v>
      </c>
      <c r="I247" s="12"/>
      <c r="J247" s="13" cm="1">
        <f t="array" ref="J247">palidzibas_d(H247,I247)</f>
        <v>0</v>
      </c>
      <c r="K247" s="13">
        <f>IFERROR(('Invoice Data'!$B247+'Invoice Data'!$D247-'Invoice Data'!$F247-'Invoice Data'!$J247+'Invoice Data'!$G247),"Kluda!")</f>
        <v>8746</v>
      </c>
      <c r="L247" s="13">
        <v>0</v>
      </c>
      <c r="M247" s="14" cm="1">
        <f t="array" ref="M247">IFERROR(jauna_bil(D247,F247,J247,B247,L247),"Kluda!")</f>
        <v>8746</v>
      </c>
    </row>
    <row r="248" spans="1:13" x14ac:dyDescent="0.25">
      <c r="A248" s="12">
        <v>32863</v>
      </c>
      <c r="B248" s="13">
        <v>0</v>
      </c>
      <c r="C248" s="12"/>
      <c r="D248" s="13">
        <v>4445</v>
      </c>
      <c r="E248" s="12">
        <v>1</v>
      </c>
      <c r="F248" s="13" cm="1">
        <f t="array" ref="F248">IFERROR(atlaide(E248,B248),"Kluda!")</f>
        <v>0</v>
      </c>
      <c r="G248" s="13"/>
      <c r="H248" s="12">
        <v>13</v>
      </c>
      <c r="I248" s="12"/>
      <c r="J248" s="13" cm="1">
        <f t="array" ref="J248">palidzibas_d(H248,I248)</f>
        <v>0</v>
      </c>
      <c r="K248" s="13">
        <f>IFERROR(('Invoice Data'!$B248+'Invoice Data'!$D248-'Invoice Data'!$F248-'Invoice Data'!$J248+'Invoice Data'!$G248),"Kluda!")</f>
        <v>4445</v>
      </c>
      <c r="L248" s="13">
        <v>0</v>
      </c>
      <c r="M248" s="14" cm="1">
        <f t="array" ref="M248">IFERROR(jauna_bil(D248,F248,J248,B248,L248),"Kluda!")</f>
        <v>4445</v>
      </c>
    </row>
    <row r="249" spans="1:13" x14ac:dyDescent="0.25">
      <c r="A249" s="12">
        <v>32872</v>
      </c>
      <c r="B249" s="13">
        <v>0</v>
      </c>
      <c r="C249" s="12"/>
      <c r="D249" s="13">
        <v>7306</v>
      </c>
      <c r="E249" s="12">
        <v>2</v>
      </c>
      <c r="F249" s="13" cm="1">
        <f t="array" ref="F249">IFERROR(atlaide(E249,B249),"Kluda!")</f>
        <v>0</v>
      </c>
      <c r="G249" s="13"/>
      <c r="H249" s="12">
        <v>5</v>
      </c>
      <c r="I249" s="12"/>
      <c r="J249" s="13" cm="1">
        <f t="array" ref="J249">palidzibas_d(H249,I249)</f>
        <v>0</v>
      </c>
      <c r="K249" s="13">
        <f>IFERROR(('Invoice Data'!$B249+'Invoice Data'!$D249-'Invoice Data'!$F249-'Invoice Data'!$J249+'Invoice Data'!$G249),"Kluda!")</f>
        <v>7306</v>
      </c>
      <c r="L249" s="13">
        <v>0</v>
      </c>
      <c r="M249" s="14" cm="1">
        <f t="array" ref="M249">IFERROR(jauna_bil(D249,F249,J249,B249,L249),"Kluda!")</f>
        <v>7306</v>
      </c>
    </row>
    <row r="250" spans="1:13" x14ac:dyDescent="0.25">
      <c r="A250" s="12">
        <v>32881</v>
      </c>
      <c r="B250" s="13">
        <v>0</v>
      </c>
      <c r="C250" s="12"/>
      <c r="D250" s="13">
        <v>4117</v>
      </c>
      <c r="E250" s="12">
        <v>1</v>
      </c>
      <c r="F250" s="13" cm="1">
        <f t="array" ref="F250">IFERROR(atlaide(E250,B250),"Kluda!")</f>
        <v>0</v>
      </c>
      <c r="G250" s="13"/>
      <c r="H250" s="12">
        <v>4</v>
      </c>
      <c r="I250" s="12"/>
      <c r="J250" s="13" cm="1">
        <f t="array" ref="J250">palidzibas_d(H250,I250)</f>
        <v>0</v>
      </c>
      <c r="K250" s="13">
        <f>IFERROR(('Invoice Data'!$B250+'Invoice Data'!$D250-'Invoice Data'!$F250-'Invoice Data'!$J250+'Invoice Data'!$G250),"Kluda!")</f>
        <v>4117</v>
      </c>
      <c r="L250" s="13">
        <v>0</v>
      </c>
      <c r="M250" s="14" cm="1">
        <f t="array" ref="M250">IFERROR(jauna_bil(D250,F250,J250,B250,L250),"Kluda!")</f>
        <v>4117</v>
      </c>
    </row>
    <row r="251" spans="1:13" x14ac:dyDescent="0.25">
      <c r="A251" s="12">
        <v>32890</v>
      </c>
      <c r="B251" s="13">
        <v>0</v>
      </c>
      <c r="C251" s="12"/>
      <c r="D251" s="13">
        <v>7715</v>
      </c>
      <c r="E251" s="12">
        <v>2</v>
      </c>
      <c r="F251" s="13" cm="1">
        <f t="array" ref="F251">IFERROR(atlaide(E251,B251),"Kluda!")</f>
        <v>0</v>
      </c>
      <c r="G251" s="13"/>
      <c r="H251" s="12">
        <v>8</v>
      </c>
      <c r="I251" s="12"/>
      <c r="J251" s="13" cm="1">
        <f t="array" ref="J251">palidzibas_d(H251,I251)</f>
        <v>0</v>
      </c>
      <c r="K251" s="13">
        <f>IFERROR(('Invoice Data'!$B251+'Invoice Data'!$D251-'Invoice Data'!$F251-'Invoice Data'!$J251+'Invoice Data'!$G251),"Kluda!")</f>
        <v>7715</v>
      </c>
      <c r="L251" s="13">
        <v>0</v>
      </c>
      <c r="M251" s="14" cm="1">
        <f t="array" ref="M251">IFERROR(jauna_bil(D251,F251,J251,B251,L251),"Kluda!")</f>
        <v>7715</v>
      </c>
    </row>
    <row r="252" spans="1:13" x14ac:dyDescent="0.25">
      <c r="A252" s="12">
        <v>32907</v>
      </c>
      <c r="B252" s="13">
        <v>0</v>
      </c>
      <c r="C252" s="12"/>
      <c r="D252" s="13">
        <v>9458</v>
      </c>
      <c r="E252" s="12">
        <v>2</v>
      </c>
      <c r="F252" s="13" cm="1">
        <f t="array" ref="F252">IFERROR(atlaide(E252,B252),"Kluda!")</f>
        <v>0</v>
      </c>
      <c r="G252" s="13"/>
      <c r="H252" s="12">
        <v>15</v>
      </c>
      <c r="I252" s="12"/>
      <c r="J252" s="13" cm="1">
        <f t="array" ref="J252">palidzibas_d(H252,I252)</f>
        <v>0</v>
      </c>
      <c r="K252" s="13">
        <f>IFERROR(('Invoice Data'!$B252+'Invoice Data'!$D252-'Invoice Data'!$F252-'Invoice Data'!$J252+'Invoice Data'!$G252),"Kluda!")</f>
        <v>9458</v>
      </c>
      <c r="L252" s="13">
        <v>0</v>
      </c>
      <c r="M252" s="14" cm="1">
        <f t="array" ref="M252">IFERROR(jauna_bil(D252,F252,J252,B252,L252),"Kluda!")</f>
        <v>9458</v>
      </c>
    </row>
    <row r="253" spans="1:13" x14ac:dyDescent="0.25">
      <c r="A253" s="12">
        <v>32916</v>
      </c>
      <c r="B253" s="13">
        <v>0</v>
      </c>
      <c r="C253" s="12"/>
      <c r="D253" s="13">
        <v>9824</v>
      </c>
      <c r="E253" s="12">
        <v>2</v>
      </c>
      <c r="F253" s="13" cm="1">
        <f t="array" ref="F253">IFERROR(atlaide(E253,B253),"Kluda!")</f>
        <v>0</v>
      </c>
      <c r="G253" s="13"/>
      <c r="H253" s="12">
        <v>5</v>
      </c>
      <c r="I253" s="12"/>
      <c r="J253" s="13" cm="1">
        <f t="array" ref="J253">palidzibas_d(H253,I253)</f>
        <v>0</v>
      </c>
      <c r="K253" s="13">
        <f>IFERROR(('Invoice Data'!$B253+'Invoice Data'!$D253-'Invoice Data'!$F253-'Invoice Data'!$J253+'Invoice Data'!$G253),"Kluda!")</f>
        <v>9824</v>
      </c>
      <c r="L253" s="13">
        <v>0</v>
      </c>
      <c r="M253" s="14" cm="1">
        <f t="array" ref="M253">IFERROR(jauna_bil(D253,F253,J253,B253,L253),"Kluda!")</f>
        <v>9824</v>
      </c>
    </row>
    <row r="254" spans="1:13" x14ac:dyDescent="0.25">
      <c r="A254" s="12">
        <v>32925</v>
      </c>
      <c r="B254" s="13">
        <v>0</v>
      </c>
      <c r="C254" s="12"/>
      <c r="D254" s="13">
        <v>6381</v>
      </c>
      <c r="E254" s="12">
        <v>2</v>
      </c>
      <c r="F254" s="13" cm="1">
        <f t="array" ref="F254">IFERROR(atlaide(E254,B254),"Kluda!")</f>
        <v>0</v>
      </c>
      <c r="G254" s="13"/>
      <c r="H254" s="12">
        <v>4</v>
      </c>
      <c r="I254" s="12"/>
      <c r="J254" s="13" cm="1">
        <f t="array" ref="J254">palidzibas_d(H254,I254)</f>
        <v>0</v>
      </c>
      <c r="K254" s="13">
        <f>IFERROR(('Invoice Data'!$B254+'Invoice Data'!$D254-'Invoice Data'!$F254-'Invoice Data'!$J254+'Invoice Data'!$G254),"Kluda!")</f>
        <v>6381</v>
      </c>
      <c r="L254" s="13">
        <v>0</v>
      </c>
      <c r="M254" s="14" cm="1">
        <f t="array" ref="M254">IFERROR(jauna_bil(D254,F254,J254,B254,L254),"Kluda!")</f>
        <v>6381</v>
      </c>
    </row>
    <row r="255" spans="1:13" x14ac:dyDescent="0.25">
      <c r="A255" s="12">
        <v>32934</v>
      </c>
      <c r="B255" s="13">
        <v>0</v>
      </c>
      <c r="C255" s="12"/>
      <c r="D255" s="13">
        <v>4858</v>
      </c>
      <c r="E255" s="12">
        <v>1</v>
      </c>
      <c r="F255" s="13" cm="1">
        <f t="array" ref="F255">IFERROR(atlaide(E255,B255),"Kluda!")</f>
        <v>0</v>
      </c>
      <c r="G255" s="13"/>
      <c r="H255" s="12">
        <v>8</v>
      </c>
      <c r="I255" s="12"/>
      <c r="J255" s="13" cm="1">
        <f t="array" ref="J255">palidzibas_d(H255,I255)</f>
        <v>0</v>
      </c>
      <c r="K255" s="13">
        <f>IFERROR(('Invoice Data'!$B255+'Invoice Data'!$D255-'Invoice Data'!$F255-'Invoice Data'!$J255+'Invoice Data'!$G255),"Kluda!")</f>
        <v>4858</v>
      </c>
      <c r="L255" s="13">
        <v>0</v>
      </c>
      <c r="M255" s="14" cm="1">
        <f t="array" ref="M255">IFERROR(jauna_bil(D255,F255,J255,B255,L255),"Kluda!")</f>
        <v>4858</v>
      </c>
    </row>
    <row r="256" spans="1:13" x14ac:dyDescent="0.25">
      <c r="A256" s="12">
        <v>32943</v>
      </c>
      <c r="B256" s="13">
        <v>0</v>
      </c>
      <c r="C256" s="12"/>
      <c r="D256" s="13">
        <v>5546</v>
      </c>
      <c r="E256" s="12">
        <v>1</v>
      </c>
      <c r="F256" s="13" cm="1">
        <f t="array" ref="F256">IFERROR(atlaide(E256,B256),"Kluda!")</f>
        <v>0</v>
      </c>
      <c r="G256" s="13"/>
      <c r="H256" s="12">
        <v>3</v>
      </c>
      <c r="I256" s="12"/>
      <c r="J256" s="13" cm="1">
        <f t="array" ref="J256">palidzibas_d(H256,I256)</f>
        <v>0</v>
      </c>
      <c r="K256" s="13">
        <f>IFERROR(('Invoice Data'!$B256+'Invoice Data'!$D256-'Invoice Data'!$F256-'Invoice Data'!$J256+'Invoice Data'!$G256),"Kluda!")</f>
        <v>5546</v>
      </c>
      <c r="L256" s="13">
        <v>0</v>
      </c>
      <c r="M256" s="14" cm="1">
        <f t="array" ref="M256">IFERROR(jauna_bil(D256,F256,J256,B256,L256),"Kluda!")</f>
        <v>5546</v>
      </c>
    </row>
    <row r="257" spans="1:13" x14ac:dyDescent="0.25">
      <c r="A257" s="12">
        <v>32952</v>
      </c>
      <c r="B257" s="13">
        <v>0</v>
      </c>
      <c r="C257" s="12"/>
      <c r="D257" s="13">
        <v>4084</v>
      </c>
      <c r="E257" s="12">
        <v>1</v>
      </c>
      <c r="F257" s="13" cm="1">
        <f t="array" ref="F257">IFERROR(atlaide(E257,B257),"Kluda!")</f>
        <v>0</v>
      </c>
      <c r="G257" s="13"/>
      <c r="H257" s="12">
        <v>5</v>
      </c>
      <c r="I257" s="12"/>
      <c r="J257" s="13" cm="1">
        <f t="array" ref="J257">palidzibas_d(H257,I257)</f>
        <v>0</v>
      </c>
      <c r="K257" s="13">
        <f>IFERROR(('Invoice Data'!$B257+'Invoice Data'!$D257-'Invoice Data'!$F257-'Invoice Data'!$J257+'Invoice Data'!$G257),"Kluda!")</f>
        <v>4084</v>
      </c>
      <c r="L257" s="13">
        <v>0</v>
      </c>
      <c r="M257" s="14" cm="1">
        <f t="array" ref="M257">IFERROR(jauna_bil(D257,F257,J257,B257,L257),"Kluda!")</f>
        <v>4084</v>
      </c>
    </row>
    <row r="258" spans="1:13" x14ac:dyDescent="0.25">
      <c r="A258" s="12">
        <v>32961</v>
      </c>
      <c r="B258" s="13">
        <v>0</v>
      </c>
      <c r="C258" s="12"/>
      <c r="D258" s="13">
        <v>9792</v>
      </c>
      <c r="E258" s="12">
        <v>2</v>
      </c>
      <c r="F258" s="13" cm="1">
        <f t="array" ref="F258">IFERROR(atlaide(E258,B258),"Kluda!")</f>
        <v>0</v>
      </c>
      <c r="G258" s="13"/>
      <c r="H258" s="12">
        <v>7</v>
      </c>
      <c r="I258" s="12"/>
      <c r="J258" s="13" cm="1">
        <f t="array" ref="J258">palidzibas_d(H258,I258)</f>
        <v>0</v>
      </c>
      <c r="K258" s="13">
        <f>IFERROR(('Invoice Data'!$B258+'Invoice Data'!$D258-'Invoice Data'!$F258-'Invoice Data'!$J258+'Invoice Data'!$G258),"Kluda!")</f>
        <v>9792</v>
      </c>
      <c r="L258" s="13">
        <v>0</v>
      </c>
      <c r="M258" s="14" cm="1">
        <f t="array" ref="M258">IFERROR(jauna_bil(D258,F258,J258,B258,L258),"Kluda!")</f>
        <v>9792</v>
      </c>
    </row>
    <row r="259" spans="1:13" x14ac:dyDescent="0.25">
      <c r="A259" s="12">
        <v>32970</v>
      </c>
      <c r="B259" s="13">
        <v>0</v>
      </c>
      <c r="C259" s="12"/>
      <c r="D259" s="13">
        <v>8388</v>
      </c>
      <c r="E259" s="12">
        <v>2</v>
      </c>
      <c r="F259" s="13" cm="1">
        <f t="array" ref="F259">IFERROR(atlaide(E259,B259),"Kluda!")</f>
        <v>0</v>
      </c>
      <c r="G259" s="13"/>
      <c r="H259" s="12">
        <v>13</v>
      </c>
      <c r="I259" s="12"/>
      <c r="J259" s="13" cm="1">
        <f t="array" ref="J259">palidzibas_d(H259,I259)</f>
        <v>0</v>
      </c>
      <c r="K259" s="13">
        <f>IFERROR(('Invoice Data'!$B259+'Invoice Data'!$D259-'Invoice Data'!$F259-'Invoice Data'!$J259+'Invoice Data'!$G259),"Kluda!")</f>
        <v>8388</v>
      </c>
      <c r="L259" s="13">
        <v>0</v>
      </c>
      <c r="M259" s="14" cm="1">
        <f t="array" ref="M259">IFERROR(jauna_bil(D259,F259,J259,B259,L259),"Kluda!")</f>
        <v>8388</v>
      </c>
    </row>
    <row r="260" spans="1:13" x14ac:dyDescent="0.25">
      <c r="A260" s="12">
        <v>32989</v>
      </c>
      <c r="B260" s="13">
        <v>0</v>
      </c>
      <c r="C260" s="12"/>
      <c r="D260" s="13">
        <v>8825</v>
      </c>
      <c r="E260" s="12">
        <v>2</v>
      </c>
      <c r="F260" s="13" cm="1">
        <f t="array" ref="F260">IFERROR(atlaide(E260,B260),"Kluda!")</f>
        <v>0</v>
      </c>
      <c r="G260" s="13"/>
      <c r="H260" s="12">
        <v>16</v>
      </c>
      <c r="I260" s="12"/>
      <c r="J260" s="13" cm="1">
        <f t="array" ref="J260">palidzibas_d(H260,I260)</f>
        <v>0</v>
      </c>
      <c r="K260" s="13">
        <f>IFERROR(('Invoice Data'!$B260+'Invoice Data'!$D260-'Invoice Data'!$F260-'Invoice Data'!$J260+'Invoice Data'!$G260),"Kluda!")</f>
        <v>8825</v>
      </c>
      <c r="L260" s="13">
        <v>0</v>
      </c>
      <c r="M260" s="14" cm="1">
        <f t="array" ref="M260">IFERROR(jauna_bil(D260,F260,J260,B260,L260),"Kluda!")</f>
        <v>8825</v>
      </c>
    </row>
    <row r="261" spans="1:13" x14ac:dyDescent="0.25">
      <c r="A261" s="12">
        <v>32998</v>
      </c>
      <c r="B261" s="13">
        <v>0</v>
      </c>
      <c r="C261" s="12"/>
      <c r="D261" s="13">
        <v>5377</v>
      </c>
      <c r="E261" s="12">
        <v>1</v>
      </c>
      <c r="F261" s="13" cm="1">
        <f t="array" ref="F261">IFERROR(atlaide(E261,B261),"Kluda!")</f>
        <v>0</v>
      </c>
      <c r="G261" s="13"/>
      <c r="H261" s="12">
        <v>15</v>
      </c>
      <c r="I261" s="12"/>
      <c r="J261" s="13" cm="1">
        <f t="array" ref="J261">palidzibas_d(H261,I261)</f>
        <v>0</v>
      </c>
      <c r="K261" s="13">
        <f>IFERROR(('Invoice Data'!$B261+'Invoice Data'!$D261-'Invoice Data'!$F261-'Invoice Data'!$J261+'Invoice Data'!$G261),"Kluda!")</f>
        <v>5377</v>
      </c>
      <c r="L261" s="13">
        <v>0</v>
      </c>
      <c r="M261" s="14" cm="1">
        <f t="array" ref="M261">IFERROR(jauna_bil(D261,F261,J261,B261,L261),"Kluda!")</f>
        <v>5377</v>
      </c>
    </row>
    <row r="262" spans="1:13" x14ac:dyDescent="0.25">
      <c r="A262" s="12">
        <v>33005</v>
      </c>
      <c r="B262" s="13">
        <v>0</v>
      </c>
      <c r="C262" s="12"/>
      <c r="D262" s="13">
        <v>8256</v>
      </c>
      <c r="E262" s="12">
        <v>2</v>
      </c>
      <c r="F262" s="13" cm="1">
        <f t="array" ref="F262">IFERROR(atlaide(E262,B262),"Kluda!")</f>
        <v>0</v>
      </c>
      <c r="G262" s="13"/>
      <c r="H262" s="12">
        <v>3</v>
      </c>
      <c r="I262" s="12"/>
      <c r="J262" s="13" cm="1">
        <f t="array" ref="J262">palidzibas_d(H262,I262)</f>
        <v>0</v>
      </c>
      <c r="K262" s="13">
        <f>IFERROR(('Invoice Data'!$B262+'Invoice Data'!$D262-'Invoice Data'!$F262-'Invoice Data'!$J262+'Invoice Data'!$G262),"Kluda!")</f>
        <v>8256</v>
      </c>
      <c r="L262" s="13">
        <v>0</v>
      </c>
      <c r="M262" s="14" cm="1">
        <f t="array" ref="M262">IFERROR(jauna_bil(D262,F262,J262,B262,L262),"Kluda!")</f>
        <v>8256</v>
      </c>
    </row>
    <row r="263" spans="1:13" x14ac:dyDescent="0.25">
      <c r="A263" s="12">
        <v>33014</v>
      </c>
      <c r="B263" s="13">
        <v>0</v>
      </c>
      <c r="C263" s="12"/>
      <c r="D263" s="13">
        <v>7870</v>
      </c>
      <c r="E263" s="12">
        <v>2</v>
      </c>
      <c r="F263" s="13" cm="1">
        <f t="array" ref="F263">IFERROR(atlaide(E263,B263),"Kluda!")</f>
        <v>0</v>
      </c>
      <c r="G263" s="13"/>
      <c r="H263" s="12">
        <v>16</v>
      </c>
      <c r="I263" s="12"/>
      <c r="J263" s="13" cm="1">
        <f t="array" ref="J263">palidzibas_d(H263,I263)</f>
        <v>0</v>
      </c>
      <c r="K263" s="13">
        <f>IFERROR(('Invoice Data'!$B263+'Invoice Data'!$D263-'Invoice Data'!$F263-'Invoice Data'!$J263+'Invoice Data'!$G263),"Kluda!")</f>
        <v>7870</v>
      </c>
      <c r="L263" s="13">
        <v>0</v>
      </c>
      <c r="M263" s="14" cm="1">
        <f t="array" ref="M263">IFERROR(jauna_bil(D263,F263,J263,B263,L263),"Kluda!")</f>
        <v>7870</v>
      </c>
    </row>
    <row r="264" spans="1:13" x14ac:dyDescent="0.25">
      <c r="A264" s="12">
        <v>33023</v>
      </c>
      <c r="B264" s="13">
        <v>0</v>
      </c>
      <c r="C264" s="12"/>
      <c r="D264" s="13">
        <v>5464</v>
      </c>
      <c r="E264" s="12">
        <v>1</v>
      </c>
      <c r="F264" s="13" cm="1">
        <f t="array" ref="F264">IFERROR(atlaide(E264,B264),"Kluda!")</f>
        <v>0</v>
      </c>
      <c r="G264" s="13"/>
      <c r="H264" s="12">
        <v>13</v>
      </c>
      <c r="I264" s="12"/>
      <c r="J264" s="13" cm="1">
        <f t="array" ref="J264">palidzibas_d(H264,I264)</f>
        <v>0</v>
      </c>
      <c r="K264" s="13">
        <f>IFERROR(('Invoice Data'!$B264+'Invoice Data'!$D264-'Invoice Data'!$F264-'Invoice Data'!$J264+'Invoice Data'!$G264),"Kluda!")</f>
        <v>5464</v>
      </c>
      <c r="L264" s="13">
        <v>0</v>
      </c>
      <c r="M264" s="14" cm="1">
        <f t="array" ref="M264">IFERROR(jauna_bil(D264,F264,J264,B264,L264),"Kluda!")</f>
        <v>5464</v>
      </c>
    </row>
    <row r="265" spans="1:13" x14ac:dyDescent="0.25">
      <c r="A265" s="12">
        <v>33032</v>
      </c>
      <c r="B265" s="13">
        <v>0</v>
      </c>
      <c r="C265" s="12"/>
      <c r="D265" s="13">
        <v>5322</v>
      </c>
      <c r="E265" s="12">
        <v>1</v>
      </c>
      <c r="F265" s="13" cm="1">
        <f t="array" ref="F265">IFERROR(atlaide(E265,B265),"Kluda!")</f>
        <v>0</v>
      </c>
      <c r="G265" s="13"/>
      <c r="H265" s="12">
        <v>9</v>
      </c>
      <c r="I265" s="12"/>
      <c r="J265" s="13" cm="1">
        <f t="array" ref="J265">palidzibas_d(H265,I265)</f>
        <v>0</v>
      </c>
      <c r="K265" s="13">
        <f>IFERROR(('Invoice Data'!$B265+'Invoice Data'!$D265-'Invoice Data'!$F265-'Invoice Data'!$J265+'Invoice Data'!$G265),"Kluda!")</f>
        <v>5322</v>
      </c>
      <c r="L265" s="13">
        <v>0</v>
      </c>
      <c r="M265" s="14" cm="1">
        <f t="array" ref="M265">IFERROR(jauna_bil(D265,F265,J265,B265,L265),"Kluda!")</f>
        <v>5322</v>
      </c>
    </row>
    <row r="266" spans="1:13" x14ac:dyDescent="0.25">
      <c r="A266" s="12">
        <v>33041</v>
      </c>
      <c r="B266" s="13">
        <v>0</v>
      </c>
      <c r="C266" s="12"/>
      <c r="D266" s="13">
        <v>6994</v>
      </c>
      <c r="E266" s="12">
        <v>2</v>
      </c>
      <c r="F266" s="13" cm="1">
        <f t="array" ref="F266">IFERROR(atlaide(E266,B266),"Kluda!")</f>
        <v>0</v>
      </c>
      <c r="G266" s="13"/>
      <c r="H266" s="12">
        <v>12</v>
      </c>
      <c r="I266" s="12"/>
      <c r="J266" s="13" cm="1">
        <f t="array" ref="J266">palidzibas_d(H266,I266)</f>
        <v>0</v>
      </c>
      <c r="K266" s="13">
        <f>IFERROR(('Invoice Data'!$B266+'Invoice Data'!$D266-'Invoice Data'!$F266-'Invoice Data'!$J266+'Invoice Data'!$G266),"Kluda!")</f>
        <v>6994</v>
      </c>
      <c r="L266" s="13">
        <v>0</v>
      </c>
      <c r="M266" s="14" cm="1">
        <f t="array" ref="M266">IFERROR(jauna_bil(D266,F266,J266,B266,L266),"Kluda!")</f>
        <v>6994</v>
      </c>
    </row>
    <row r="267" spans="1:13" x14ac:dyDescent="0.25">
      <c r="A267" s="12">
        <v>33050</v>
      </c>
      <c r="B267" s="13">
        <v>0</v>
      </c>
      <c r="C267" s="12"/>
      <c r="D267" s="13">
        <v>5681</v>
      </c>
      <c r="E267" s="12">
        <v>1</v>
      </c>
      <c r="F267" s="13" cm="1">
        <f t="array" ref="F267">IFERROR(atlaide(E267,B267),"Kluda!")</f>
        <v>0</v>
      </c>
      <c r="G267" s="13"/>
      <c r="H267" s="12">
        <v>2</v>
      </c>
      <c r="I267" s="12"/>
      <c r="J267" s="13" cm="1">
        <f t="array" ref="J267">palidzibas_d(H267,I267)</f>
        <v>0</v>
      </c>
      <c r="K267" s="13">
        <f>IFERROR(('Invoice Data'!$B267+'Invoice Data'!$D267-'Invoice Data'!$F267-'Invoice Data'!$J267+'Invoice Data'!$G267),"Kluda!")</f>
        <v>5681</v>
      </c>
      <c r="L267" s="13">
        <v>0</v>
      </c>
      <c r="M267" s="14" cm="1">
        <f t="array" ref="M267">IFERROR(jauna_bil(D267,F267,J267,B267,L267),"Kluda!")</f>
        <v>5681</v>
      </c>
    </row>
    <row r="268" spans="1:13" x14ac:dyDescent="0.25">
      <c r="A268" s="12">
        <v>33069</v>
      </c>
      <c r="B268" s="13">
        <v>0</v>
      </c>
      <c r="C268" s="12"/>
      <c r="D268" s="13">
        <v>5001</v>
      </c>
      <c r="E268" s="12">
        <v>1</v>
      </c>
      <c r="F268" s="13" cm="1">
        <f t="array" ref="F268">IFERROR(atlaide(E268,B268),"Kluda!")</f>
        <v>0</v>
      </c>
      <c r="G268" s="13"/>
      <c r="H268" s="12">
        <v>5</v>
      </c>
      <c r="I268" s="12"/>
      <c r="J268" s="13" cm="1">
        <f t="array" ref="J268">palidzibas_d(H268,I268)</f>
        <v>0</v>
      </c>
      <c r="K268" s="13">
        <f>IFERROR(('Invoice Data'!$B268+'Invoice Data'!$D268-'Invoice Data'!$F268-'Invoice Data'!$J268+'Invoice Data'!$G268),"Kluda!")</f>
        <v>5001</v>
      </c>
      <c r="L268" s="13">
        <v>0</v>
      </c>
      <c r="M268" s="14" cm="1">
        <f t="array" ref="M268">IFERROR(jauna_bil(D268,F268,J268,B268,L268),"Kluda!")</f>
        <v>5001</v>
      </c>
    </row>
    <row r="269" spans="1:13" x14ac:dyDescent="0.25">
      <c r="A269" s="12">
        <v>33078</v>
      </c>
      <c r="B269" s="13">
        <v>0</v>
      </c>
      <c r="C269" s="12"/>
      <c r="D269" s="13">
        <v>7394</v>
      </c>
      <c r="E269" s="12">
        <v>2</v>
      </c>
      <c r="F269" s="13" cm="1">
        <f t="array" ref="F269">IFERROR(atlaide(E269,B269),"Kluda!")</f>
        <v>0</v>
      </c>
      <c r="G269" s="13"/>
      <c r="H269" s="12">
        <v>3</v>
      </c>
      <c r="I269" s="12"/>
      <c r="J269" s="13" cm="1">
        <f t="array" ref="J269">palidzibas_d(H269,I269)</f>
        <v>0</v>
      </c>
      <c r="K269" s="13">
        <f>IFERROR(('Invoice Data'!$B269+'Invoice Data'!$D269-'Invoice Data'!$F269-'Invoice Data'!$J269+'Invoice Data'!$G269),"Kluda!")</f>
        <v>7394</v>
      </c>
      <c r="L269" s="13">
        <v>0</v>
      </c>
      <c r="M269" s="14" cm="1">
        <f t="array" ref="M269">IFERROR(jauna_bil(D269,F269,J269,B269,L269),"Kluda!")</f>
        <v>7394</v>
      </c>
    </row>
    <row r="270" spans="1:13" x14ac:dyDescent="0.25">
      <c r="A270" s="12">
        <v>33087</v>
      </c>
      <c r="B270" s="13">
        <v>0</v>
      </c>
      <c r="C270" s="12"/>
      <c r="D270" s="13">
        <v>10216</v>
      </c>
      <c r="E270" s="12">
        <v>2</v>
      </c>
      <c r="F270" s="13" cm="1">
        <f t="array" ref="F270">IFERROR(atlaide(E270,B270),"Kluda!")</f>
        <v>0</v>
      </c>
      <c r="G270" s="13"/>
      <c r="H270" s="12">
        <v>9</v>
      </c>
      <c r="I270" s="12"/>
      <c r="J270" s="13" cm="1">
        <f t="array" ref="J270">palidzibas_d(H270,I270)</f>
        <v>0</v>
      </c>
      <c r="K270" s="13">
        <f>IFERROR(('Invoice Data'!$B270+'Invoice Data'!$D270-'Invoice Data'!$F270-'Invoice Data'!$J270+'Invoice Data'!$G270),"Kluda!")</f>
        <v>10216</v>
      </c>
      <c r="L270" s="13">
        <v>0</v>
      </c>
      <c r="M270" s="14" cm="1">
        <f t="array" ref="M270">IFERROR(jauna_bil(D270,F270,J270,B270,L270),"Kluda!")</f>
        <v>10216</v>
      </c>
    </row>
    <row r="271" spans="1:13" x14ac:dyDescent="0.25">
      <c r="A271" s="12">
        <v>33096</v>
      </c>
      <c r="B271" s="13">
        <v>0</v>
      </c>
      <c r="C271" s="12"/>
      <c r="D271" s="13">
        <v>4051</v>
      </c>
      <c r="E271" s="12">
        <v>1</v>
      </c>
      <c r="F271" s="13" cm="1">
        <f t="array" ref="F271">IFERROR(atlaide(E271,B271),"Kluda!")</f>
        <v>0</v>
      </c>
      <c r="G271" s="13"/>
      <c r="H271" s="12">
        <v>7</v>
      </c>
      <c r="I271" s="12"/>
      <c r="J271" s="13" cm="1">
        <f t="array" ref="J271">palidzibas_d(H271,I271)</f>
        <v>0</v>
      </c>
      <c r="K271" s="13">
        <f>IFERROR(('Invoice Data'!$B271+'Invoice Data'!$D271-'Invoice Data'!$F271-'Invoice Data'!$J271+'Invoice Data'!$G271),"Kluda!")</f>
        <v>4051</v>
      </c>
      <c r="L271" s="13">
        <v>0</v>
      </c>
      <c r="M271" s="14" cm="1">
        <f t="array" ref="M271">IFERROR(jauna_bil(D271,F271,J271,B271,L271),"Kluda!")</f>
        <v>4051</v>
      </c>
    </row>
    <row r="272" spans="1:13" x14ac:dyDescent="0.25">
      <c r="A272" s="12">
        <v>33103</v>
      </c>
      <c r="B272" s="13">
        <v>0</v>
      </c>
      <c r="C272" s="12"/>
      <c r="D272" s="13">
        <v>9011</v>
      </c>
      <c r="E272" s="12">
        <v>2</v>
      </c>
      <c r="F272" s="13" cm="1">
        <f t="array" ref="F272">IFERROR(atlaide(E272,B272),"Kluda!")</f>
        <v>0</v>
      </c>
      <c r="G272" s="13"/>
      <c r="H272" s="12">
        <v>13</v>
      </c>
      <c r="I272" s="12"/>
      <c r="J272" s="13" cm="1">
        <f t="array" ref="J272">palidzibas_d(H272,I272)</f>
        <v>0</v>
      </c>
      <c r="K272" s="13">
        <f>IFERROR(('Invoice Data'!$B272+'Invoice Data'!$D272-'Invoice Data'!$F272-'Invoice Data'!$J272+'Invoice Data'!$G272),"Kluda!")</f>
        <v>9011</v>
      </c>
      <c r="L272" s="13">
        <v>0</v>
      </c>
      <c r="M272" s="14" cm="1">
        <f t="array" ref="M272">IFERROR(jauna_bil(D272,F272,J272,B272,L272),"Kluda!")</f>
        <v>9011</v>
      </c>
    </row>
    <row r="273" spans="1:13" x14ac:dyDescent="0.25">
      <c r="A273" s="12">
        <v>33112</v>
      </c>
      <c r="B273" s="13">
        <v>0</v>
      </c>
      <c r="C273" s="12"/>
      <c r="D273" s="13">
        <v>8247</v>
      </c>
      <c r="E273" s="12">
        <v>2</v>
      </c>
      <c r="F273" s="13" cm="1">
        <f t="array" ref="F273">IFERROR(atlaide(E273,B273),"Kluda!")</f>
        <v>0</v>
      </c>
      <c r="G273" s="13"/>
      <c r="H273" s="12">
        <v>7</v>
      </c>
      <c r="I273" s="12"/>
      <c r="J273" s="13" cm="1">
        <f t="array" ref="J273">palidzibas_d(H273,I273)</f>
        <v>0</v>
      </c>
      <c r="K273" s="13">
        <f>IFERROR(('Invoice Data'!$B273+'Invoice Data'!$D273-'Invoice Data'!$F273-'Invoice Data'!$J273+'Invoice Data'!$G273),"Kluda!")</f>
        <v>8247</v>
      </c>
      <c r="L273" s="13">
        <v>0</v>
      </c>
      <c r="M273" s="14" cm="1">
        <f t="array" ref="M273">IFERROR(jauna_bil(D273,F273,J273,B273,L273),"Kluda!")</f>
        <v>8247</v>
      </c>
    </row>
    <row r="274" spans="1:13" x14ac:dyDescent="0.25">
      <c r="A274" s="12">
        <v>33121</v>
      </c>
      <c r="B274" s="13">
        <v>0</v>
      </c>
      <c r="C274" s="12"/>
      <c r="D274" s="13">
        <v>10540</v>
      </c>
      <c r="E274" s="12">
        <v>2</v>
      </c>
      <c r="F274" s="13" cm="1">
        <f t="array" ref="F274">IFERROR(atlaide(E274,B274),"Kluda!")</f>
        <v>0</v>
      </c>
      <c r="G274" s="13"/>
      <c r="H274" s="12">
        <v>10</v>
      </c>
      <c r="I274" s="12"/>
      <c r="J274" s="13" cm="1">
        <f t="array" ref="J274">palidzibas_d(H274,I274)</f>
        <v>0</v>
      </c>
      <c r="K274" s="13">
        <f>IFERROR(('Invoice Data'!$B274+'Invoice Data'!$D274-'Invoice Data'!$F274-'Invoice Data'!$J274+'Invoice Data'!$G274),"Kluda!")</f>
        <v>10540</v>
      </c>
      <c r="L274" s="13">
        <v>0</v>
      </c>
      <c r="M274" s="14" cm="1">
        <f t="array" ref="M274">IFERROR(jauna_bil(D274,F274,J274,B274,L274),"Kluda!")</f>
        <v>10540</v>
      </c>
    </row>
    <row r="275" spans="1:13" x14ac:dyDescent="0.25">
      <c r="A275" s="12">
        <v>33130</v>
      </c>
      <c r="B275" s="13">
        <v>0</v>
      </c>
      <c r="C275" s="12"/>
      <c r="D275" s="13">
        <v>7601</v>
      </c>
      <c r="E275" s="12">
        <v>2</v>
      </c>
      <c r="F275" s="13" cm="1">
        <f t="array" ref="F275">IFERROR(atlaide(E275,B275),"Kluda!")</f>
        <v>0</v>
      </c>
      <c r="G275" s="13"/>
      <c r="H275" s="12">
        <v>0</v>
      </c>
      <c r="I275" s="12" t="b">
        <v>1</v>
      </c>
      <c r="J275" s="13" cm="1">
        <f t="array" ref="J275">palidzibas_d(H275,I275)</f>
        <v>0</v>
      </c>
      <c r="K275" s="13">
        <f>IFERROR(('Invoice Data'!$B275+'Invoice Data'!$D275-'Invoice Data'!$F275-'Invoice Data'!$J275+'Invoice Data'!$G275),"Kluda!")</f>
        <v>7601</v>
      </c>
      <c r="L275" s="13">
        <v>0</v>
      </c>
      <c r="M275" s="14" cm="1">
        <f t="array" ref="M275">IFERROR(jauna_bil(D275,F275,J275,B275,L275),"Kluda!")</f>
        <v>7601</v>
      </c>
    </row>
    <row r="276" spans="1:13" x14ac:dyDescent="0.25">
      <c r="A276" s="12">
        <v>33149</v>
      </c>
      <c r="B276" s="13">
        <v>0</v>
      </c>
      <c r="C276" s="12"/>
      <c r="D276" s="13">
        <v>8001</v>
      </c>
      <c r="E276" s="12">
        <v>2</v>
      </c>
      <c r="F276" s="13" cm="1">
        <f t="array" ref="F276">IFERROR(atlaide(E276,B276),"Kluda!")</f>
        <v>0</v>
      </c>
      <c r="G276" s="13"/>
      <c r="H276" s="12">
        <v>1</v>
      </c>
      <c r="I276" s="12"/>
      <c r="J276" s="13" cm="1">
        <f t="array" ref="J276">palidzibas_d(H276,I276)</f>
        <v>0</v>
      </c>
      <c r="K276" s="13">
        <f>IFERROR(('Invoice Data'!$B276+'Invoice Data'!$D276-'Invoice Data'!$F276-'Invoice Data'!$J276+'Invoice Data'!$G276),"Kluda!")</f>
        <v>8001</v>
      </c>
      <c r="L276" s="13">
        <v>0</v>
      </c>
      <c r="M276" s="14" cm="1">
        <f t="array" ref="M276">IFERROR(jauna_bil(D276,F276,J276,B276,L276),"Kluda!")</f>
        <v>8001</v>
      </c>
    </row>
    <row r="277" spans="1:13" x14ac:dyDescent="0.25">
      <c r="A277" s="12">
        <v>33158</v>
      </c>
      <c r="B277" s="13">
        <v>0</v>
      </c>
      <c r="C277" s="12"/>
      <c r="D277" s="13">
        <v>5605</v>
      </c>
      <c r="E277" s="12">
        <v>1</v>
      </c>
      <c r="F277" s="13" cm="1">
        <f t="array" ref="F277">IFERROR(atlaide(E277,B277),"Kluda!")</f>
        <v>0</v>
      </c>
      <c r="G277" s="13"/>
      <c r="H277" s="12">
        <v>10</v>
      </c>
      <c r="I277" s="12"/>
      <c r="J277" s="13" cm="1">
        <f t="array" ref="J277">palidzibas_d(H277,I277)</f>
        <v>0</v>
      </c>
      <c r="K277" s="13">
        <f>IFERROR(('Invoice Data'!$B277+'Invoice Data'!$D277-'Invoice Data'!$F277-'Invoice Data'!$J277+'Invoice Data'!$G277),"Kluda!")</f>
        <v>5605</v>
      </c>
      <c r="L277" s="13">
        <v>0</v>
      </c>
      <c r="M277" s="14" cm="1">
        <f t="array" ref="M277">IFERROR(jauna_bil(D277,F277,J277,B277,L277),"Kluda!")</f>
        <v>5605</v>
      </c>
    </row>
    <row r="278" spans="1:13" x14ac:dyDescent="0.25">
      <c r="A278" s="12">
        <v>33167</v>
      </c>
      <c r="B278" s="13">
        <v>0</v>
      </c>
      <c r="C278" s="12"/>
      <c r="D278" s="13">
        <v>10055</v>
      </c>
      <c r="E278" s="12">
        <v>2</v>
      </c>
      <c r="F278" s="13" cm="1">
        <f t="array" ref="F278">IFERROR(atlaide(E278,B278),"Kluda!")</f>
        <v>0</v>
      </c>
      <c r="G278" s="13"/>
      <c r="H278" s="12">
        <v>0</v>
      </c>
      <c r="I278" s="12"/>
      <c r="J278" s="13" cm="1">
        <f t="array" ref="J278">palidzibas_d(H278,I278)</f>
        <v>0</v>
      </c>
      <c r="K278" s="13">
        <f>IFERROR(('Invoice Data'!$B278+'Invoice Data'!$D278-'Invoice Data'!$F278-'Invoice Data'!$J278+'Invoice Data'!$G278),"Kluda!")</f>
        <v>10055</v>
      </c>
      <c r="L278" s="13">
        <v>0</v>
      </c>
      <c r="M278" s="14" cm="1">
        <f t="array" ref="M278">IFERROR(jauna_bil(D278,F278,J278,B278,L278),"Kluda!")</f>
        <v>10055</v>
      </c>
    </row>
    <row r="279" spans="1:13" x14ac:dyDescent="0.25">
      <c r="A279" s="12">
        <v>33176</v>
      </c>
      <c r="B279" s="13">
        <v>0</v>
      </c>
      <c r="C279" s="12"/>
      <c r="D279" s="13">
        <v>3639</v>
      </c>
      <c r="E279" s="12">
        <v>1</v>
      </c>
      <c r="F279" s="13" cm="1">
        <f t="array" ref="F279">IFERROR(atlaide(E279,B279),"Kluda!")</f>
        <v>0</v>
      </c>
      <c r="G279" s="13"/>
      <c r="H279" s="12">
        <v>10</v>
      </c>
      <c r="I279" s="12"/>
      <c r="J279" s="13" cm="1">
        <f t="array" ref="J279">palidzibas_d(H279,I279)</f>
        <v>0</v>
      </c>
      <c r="K279" s="13">
        <f>IFERROR(('Invoice Data'!$B279+'Invoice Data'!$D279-'Invoice Data'!$F279-'Invoice Data'!$J279+'Invoice Data'!$G279),"Kluda!")</f>
        <v>3639</v>
      </c>
      <c r="L279" s="13">
        <v>0</v>
      </c>
      <c r="M279" s="14" cm="1">
        <f t="array" ref="M279">IFERROR(jauna_bil(D279,F279,J279,B279,L279),"Kluda!")</f>
        <v>3639</v>
      </c>
    </row>
    <row r="280" spans="1:13" x14ac:dyDescent="0.25">
      <c r="A280" s="12">
        <v>33185</v>
      </c>
      <c r="B280" s="13">
        <v>0</v>
      </c>
      <c r="C280" s="12"/>
      <c r="D280" s="13">
        <v>3679</v>
      </c>
      <c r="E280" s="12">
        <v>1</v>
      </c>
      <c r="F280" s="13" cm="1">
        <f t="array" ref="F280">IFERROR(atlaide(E280,B280),"Kluda!")</f>
        <v>0</v>
      </c>
      <c r="G280" s="13"/>
      <c r="H280" s="12">
        <v>3</v>
      </c>
      <c r="I280" s="12"/>
      <c r="J280" s="13" cm="1">
        <f t="array" ref="J280">palidzibas_d(H280,I280)</f>
        <v>0</v>
      </c>
      <c r="K280" s="13">
        <f>IFERROR(('Invoice Data'!$B280+'Invoice Data'!$D280-'Invoice Data'!$F280-'Invoice Data'!$J280+'Invoice Data'!$G280),"Kluda!")</f>
        <v>3679</v>
      </c>
      <c r="L280" s="13">
        <v>0</v>
      </c>
      <c r="M280" s="14" cm="1">
        <f t="array" ref="M280">IFERROR(jauna_bil(D280,F280,J280,B280,L280),"Kluda!")</f>
        <v>3679</v>
      </c>
    </row>
    <row r="281" spans="1:13" x14ac:dyDescent="0.25">
      <c r="A281" s="12">
        <v>33194</v>
      </c>
      <c r="B281" s="13">
        <v>0</v>
      </c>
      <c r="C281" s="12"/>
      <c r="D281" s="13">
        <v>7635</v>
      </c>
      <c r="E281" s="12">
        <v>2</v>
      </c>
      <c r="F281" s="13" cm="1">
        <f t="array" ref="F281">IFERROR(atlaide(E281,B281),"Kluda!")</f>
        <v>0</v>
      </c>
      <c r="G281" s="13"/>
      <c r="H281" s="12">
        <v>7</v>
      </c>
      <c r="I281" s="12"/>
      <c r="J281" s="13" cm="1">
        <f t="array" ref="J281">palidzibas_d(H281,I281)</f>
        <v>0</v>
      </c>
      <c r="K281" s="13">
        <f>IFERROR(('Invoice Data'!$B281+'Invoice Data'!$D281-'Invoice Data'!$F281-'Invoice Data'!$J281+'Invoice Data'!$G281),"Kluda!")</f>
        <v>7635</v>
      </c>
      <c r="L281" s="13">
        <v>0</v>
      </c>
      <c r="M281" s="14" cm="1">
        <f t="array" ref="M281">IFERROR(jauna_bil(D281,F281,J281,B281,L281),"Kluda!")</f>
        <v>7635</v>
      </c>
    </row>
    <row r="282" spans="1:13" x14ac:dyDescent="0.25">
      <c r="A282" s="12">
        <v>33201</v>
      </c>
      <c r="B282" s="13">
        <v>0</v>
      </c>
      <c r="C282" s="12"/>
      <c r="D282" s="13">
        <v>8638</v>
      </c>
      <c r="E282" s="12">
        <v>2</v>
      </c>
      <c r="F282" s="13" cm="1">
        <f t="array" ref="F282">IFERROR(atlaide(E282,B282),"Kluda!")</f>
        <v>0</v>
      </c>
      <c r="G282" s="13"/>
      <c r="H282" s="12">
        <v>1</v>
      </c>
      <c r="I282" s="12"/>
      <c r="J282" s="13" cm="1">
        <f t="array" ref="J282">palidzibas_d(H282,I282)</f>
        <v>0</v>
      </c>
      <c r="K282" s="13">
        <f>IFERROR(('Invoice Data'!$B282+'Invoice Data'!$D282-'Invoice Data'!$F282-'Invoice Data'!$J282+'Invoice Data'!$G282),"Kluda!")</f>
        <v>8638</v>
      </c>
      <c r="L282" s="13">
        <v>0</v>
      </c>
      <c r="M282" s="14" cm="1">
        <f t="array" ref="M282">IFERROR(jauna_bil(D282,F282,J282,B282,L282),"Kluda!")</f>
        <v>8638</v>
      </c>
    </row>
    <row r="283" spans="1:13" x14ac:dyDescent="0.25">
      <c r="A283" s="12">
        <v>33210</v>
      </c>
      <c r="B283" s="13">
        <v>0</v>
      </c>
      <c r="C283" s="12"/>
      <c r="D283" s="13">
        <v>3683</v>
      </c>
      <c r="E283" s="12">
        <v>1</v>
      </c>
      <c r="F283" s="13" cm="1">
        <f t="array" ref="F283">IFERROR(atlaide(E283,B283),"Kluda!")</f>
        <v>0</v>
      </c>
      <c r="G283" s="13"/>
      <c r="H283" s="12">
        <v>7</v>
      </c>
      <c r="I283" s="12"/>
      <c r="J283" s="13" cm="1">
        <f t="array" ref="J283">palidzibas_d(H283,I283)</f>
        <v>0</v>
      </c>
      <c r="K283" s="13">
        <f>IFERROR(('Invoice Data'!$B283+'Invoice Data'!$D283-'Invoice Data'!$F283-'Invoice Data'!$J283+'Invoice Data'!$G283),"Kluda!")</f>
        <v>3683</v>
      </c>
      <c r="L283" s="13">
        <v>0</v>
      </c>
      <c r="M283" s="14" cm="1">
        <f t="array" ref="M283">IFERROR(jauna_bil(D283,F283,J283,B283,L283),"Kluda!")</f>
        <v>3683</v>
      </c>
    </row>
    <row r="284" spans="1:13" x14ac:dyDescent="0.25">
      <c r="A284" s="12">
        <v>33229</v>
      </c>
      <c r="B284" s="13">
        <v>1304</v>
      </c>
      <c r="C284" s="12"/>
      <c r="D284" s="13">
        <v>7773</v>
      </c>
      <c r="E284" s="12">
        <v>2</v>
      </c>
      <c r="F284" s="13" cm="1">
        <f t="array" ref="F284">IFERROR(atlaide(E284,B284),"Kluda!")</f>
        <v>78.239999999999995</v>
      </c>
      <c r="G284" s="13"/>
      <c r="H284" s="12">
        <v>11</v>
      </c>
      <c r="I284" s="12"/>
      <c r="J284" s="13" cm="1">
        <f t="array" ref="J284">palidzibas_d(H284,I284)</f>
        <v>0</v>
      </c>
      <c r="K284" s="13">
        <f>IFERROR(('Invoice Data'!$B284+'Invoice Data'!$D284-'Invoice Data'!$F284-'Invoice Data'!$J284+'Invoice Data'!$G284),"Kluda!")</f>
        <v>8998.76</v>
      </c>
      <c r="L284" s="13">
        <v>0</v>
      </c>
      <c r="M284" s="14" cm="1">
        <f t="array" ref="M284">IFERROR(jauna_bil(D284,F284,J284,B284,L284),"Kluda!")</f>
        <v>6390.76</v>
      </c>
    </row>
    <row r="285" spans="1:13" x14ac:dyDescent="0.25">
      <c r="A285" s="12">
        <v>33238</v>
      </c>
      <c r="B285" s="13">
        <v>0</v>
      </c>
      <c r="C285" s="12"/>
      <c r="D285" s="13">
        <v>4619</v>
      </c>
      <c r="E285" s="12">
        <v>1</v>
      </c>
      <c r="F285" s="13" cm="1">
        <f t="array" ref="F285">IFERROR(atlaide(E285,B285),"Kluda!")</f>
        <v>0</v>
      </c>
      <c r="G285" s="13"/>
      <c r="H285" s="12">
        <v>0</v>
      </c>
      <c r="I285" s="12"/>
      <c r="J285" s="13" cm="1">
        <f t="array" ref="J285">palidzibas_d(H285,I285)</f>
        <v>0</v>
      </c>
      <c r="K285" s="13">
        <f>IFERROR(('Invoice Data'!$B285+'Invoice Data'!$D285-'Invoice Data'!$F285-'Invoice Data'!$J285+'Invoice Data'!$G285),"Kluda!")</f>
        <v>4619</v>
      </c>
      <c r="L285" s="13">
        <v>0</v>
      </c>
      <c r="M285" s="14" cm="1">
        <f t="array" ref="M285">IFERROR(jauna_bil(D285,F285,J285,B285,L285),"Kluda!")</f>
        <v>4619</v>
      </c>
    </row>
    <row r="286" spans="1:13" x14ac:dyDescent="0.25">
      <c r="A286" s="12">
        <v>33247</v>
      </c>
      <c r="B286" s="13">
        <v>0</v>
      </c>
      <c r="C286" s="12"/>
      <c r="D286" s="13">
        <v>3579</v>
      </c>
      <c r="E286" s="12">
        <v>1</v>
      </c>
      <c r="F286" s="13" cm="1">
        <f t="array" ref="F286">IFERROR(atlaide(E286,B286),"Kluda!")</f>
        <v>0</v>
      </c>
      <c r="G286" s="13"/>
      <c r="H286" s="12">
        <v>11</v>
      </c>
      <c r="I286" s="12"/>
      <c r="J286" s="13" cm="1">
        <f t="array" ref="J286">palidzibas_d(H286,I286)</f>
        <v>0</v>
      </c>
      <c r="K286" s="13">
        <f>IFERROR(('Invoice Data'!$B286+'Invoice Data'!$D286-'Invoice Data'!$F286-'Invoice Data'!$J286+'Invoice Data'!$G286),"Kluda!")</f>
        <v>3579</v>
      </c>
      <c r="L286" s="13">
        <v>0</v>
      </c>
      <c r="M286" s="14" cm="1">
        <f t="array" ref="M286">IFERROR(jauna_bil(D286,F286,J286,B286,L286),"Kluda!")</f>
        <v>3579</v>
      </c>
    </row>
    <row r="287" spans="1:13" x14ac:dyDescent="0.25">
      <c r="A287" s="12">
        <v>33256</v>
      </c>
      <c r="B287" s="13">
        <v>0</v>
      </c>
      <c r="C287" s="12"/>
      <c r="D287" s="13">
        <v>3926</v>
      </c>
      <c r="E287" s="12">
        <v>1</v>
      </c>
      <c r="F287" s="13" cm="1">
        <f t="array" ref="F287">IFERROR(atlaide(E287,B287),"Kluda!")</f>
        <v>0</v>
      </c>
      <c r="G287" s="13"/>
      <c r="H287" s="12">
        <v>13</v>
      </c>
      <c r="I287" s="12"/>
      <c r="J287" s="13" cm="1">
        <f t="array" ref="J287">palidzibas_d(H287,I287)</f>
        <v>0</v>
      </c>
      <c r="K287" s="13">
        <f>IFERROR(('Invoice Data'!$B287+'Invoice Data'!$D287-'Invoice Data'!$F287-'Invoice Data'!$J287+'Invoice Data'!$G287),"Kluda!")</f>
        <v>3926</v>
      </c>
      <c r="L287" s="13">
        <v>0</v>
      </c>
      <c r="M287" s="14" cm="1">
        <f t="array" ref="M287">IFERROR(jauna_bil(D287,F287,J287,B287,L287),"Kluda!")</f>
        <v>3926</v>
      </c>
    </row>
    <row r="288" spans="1:13" x14ac:dyDescent="0.25">
      <c r="A288" s="12">
        <v>33265</v>
      </c>
      <c r="B288" s="13">
        <v>0</v>
      </c>
      <c r="C288" s="12"/>
      <c r="D288" s="13">
        <v>8414</v>
      </c>
      <c r="E288" s="12">
        <v>2</v>
      </c>
      <c r="F288" s="13" cm="1">
        <f t="array" ref="F288">IFERROR(atlaide(E288,B288),"Kluda!")</f>
        <v>0</v>
      </c>
      <c r="G288" s="13"/>
      <c r="H288" s="12">
        <v>7</v>
      </c>
      <c r="I288" s="12"/>
      <c r="J288" s="13" cm="1">
        <f t="array" ref="J288">palidzibas_d(H288,I288)</f>
        <v>0</v>
      </c>
      <c r="K288" s="13">
        <f>IFERROR(('Invoice Data'!$B288+'Invoice Data'!$D288-'Invoice Data'!$F288-'Invoice Data'!$J288+'Invoice Data'!$G288),"Kluda!")</f>
        <v>8414</v>
      </c>
      <c r="L288" s="13">
        <v>0</v>
      </c>
      <c r="M288" s="14" cm="1">
        <f t="array" ref="M288">IFERROR(jauna_bil(D288,F288,J288,B288,L288),"Kluda!")</f>
        <v>8414</v>
      </c>
    </row>
    <row r="289" spans="1:13" x14ac:dyDescent="0.25">
      <c r="A289" s="12">
        <v>33274</v>
      </c>
      <c r="B289" s="13">
        <v>0</v>
      </c>
      <c r="C289" s="12"/>
      <c r="D289" s="13">
        <v>5558</v>
      </c>
      <c r="E289" s="12">
        <v>1</v>
      </c>
      <c r="F289" s="13" cm="1">
        <f t="array" ref="F289">IFERROR(atlaide(E289,B289),"Kluda!")</f>
        <v>0</v>
      </c>
      <c r="G289" s="13"/>
      <c r="H289" s="12">
        <v>13</v>
      </c>
      <c r="I289" s="12"/>
      <c r="J289" s="13" cm="1">
        <f t="array" ref="J289">palidzibas_d(H289,I289)</f>
        <v>0</v>
      </c>
      <c r="K289" s="13">
        <f>IFERROR(('Invoice Data'!$B289+'Invoice Data'!$D289-'Invoice Data'!$F289-'Invoice Data'!$J289+'Invoice Data'!$G289),"Kluda!")</f>
        <v>5558</v>
      </c>
      <c r="L289" s="13">
        <v>0</v>
      </c>
      <c r="M289" s="14" cm="1">
        <f t="array" ref="M289">IFERROR(jauna_bil(D289,F289,J289,B289,L289),"Kluda!")</f>
        <v>5558</v>
      </c>
    </row>
    <row r="290" spans="1:13" x14ac:dyDescent="0.25">
      <c r="A290" s="12">
        <v>33283</v>
      </c>
      <c r="B290" s="13">
        <v>0</v>
      </c>
      <c r="C290" s="12"/>
      <c r="D290" s="13">
        <v>4598</v>
      </c>
      <c r="E290" s="12">
        <v>1</v>
      </c>
      <c r="F290" s="13" cm="1">
        <f t="array" ref="F290">IFERROR(atlaide(E290,B290),"Kluda!")</f>
        <v>0</v>
      </c>
      <c r="G290" s="13"/>
      <c r="H290" s="12">
        <v>9</v>
      </c>
      <c r="I290" s="12"/>
      <c r="J290" s="13" cm="1">
        <f t="array" ref="J290">palidzibas_d(H290,I290)</f>
        <v>0</v>
      </c>
      <c r="K290" s="13">
        <f>IFERROR(('Invoice Data'!$B290+'Invoice Data'!$D290-'Invoice Data'!$F290-'Invoice Data'!$J290+'Invoice Data'!$G290),"Kluda!")</f>
        <v>4598</v>
      </c>
      <c r="L290" s="13">
        <v>0</v>
      </c>
      <c r="M290" s="14" cm="1">
        <f t="array" ref="M290">IFERROR(jauna_bil(D290,F290,J290,B290,L290),"Kluda!")</f>
        <v>4598</v>
      </c>
    </row>
    <row r="291" spans="1:13" x14ac:dyDescent="0.25">
      <c r="A291" s="12">
        <v>33292</v>
      </c>
      <c r="B291" s="13">
        <v>0</v>
      </c>
      <c r="C291" s="12"/>
      <c r="D291" s="13">
        <v>3998</v>
      </c>
      <c r="E291" s="12">
        <v>1</v>
      </c>
      <c r="F291" s="13" cm="1">
        <f t="array" ref="F291">IFERROR(atlaide(E291,B291),"Kluda!")</f>
        <v>0</v>
      </c>
      <c r="G291" s="13"/>
      <c r="H291" s="12">
        <v>1</v>
      </c>
      <c r="I291" s="12"/>
      <c r="J291" s="13" cm="1">
        <f t="array" ref="J291">palidzibas_d(H291,I291)</f>
        <v>0</v>
      </c>
      <c r="K291" s="13">
        <f>IFERROR(('Invoice Data'!$B291+'Invoice Data'!$D291-'Invoice Data'!$F291-'Invoice Data'!$J291+'Invoice Data'!$G291),"Kluda!")</f>
        <v>3998</v>
      </c>
      <c r="L291" s="13">
        <v>0</v>
      </c>
      <c r="M291" s="14" cm="1">
        <f t="array" ref="M291">IFERROR(jauna_bil(D291,F291,J291,B291,L291),"Kluda!")</f>
        <v>3998</v>
      </c>
    </row>
    <row r="292" spans="1:13" x14ac:dyDescent="0.25">
      <c r="A292" s="12">
        <v>33309</v>
      </c>
      <c r="B292" s="13">
        <v>0</v>
      </c>
      <c r="C292" s="12"/>
      <c r="D292" s="13">
        <v>4017</v>
      </c>
      <c r="E292" s="12">
        <v>1</v>
      </c>
      <c r="F292" s="13" cm="1">
        <f t="array" ref="F292">IFERROR(atlaide(E292,B292),"Kluda!")</f>
        <v>0</v>
      </c>
      <c r="G292" s="13"/>
      <c r="H292" s="12">
        <v>14</v>
      </c>
      <c r="I292" s="12"/>
      <c r="J292" s="13" cm="1">
        <f t="array" ref="J292">palidzibas_d(H292,I292)</f>
        <v>0</v>
      </c>
      <c r="K292" s="13">
        <f>IFERROR(('Invoice Data'!$B292+'Invoice Data'!$D292-'Invoice Data'!$F292-'Invoice Data'!$J292+'Invoice Data'!$G292),"Kluda!")</f>
        <v>4017</v>
      </c>
      <c r="L292" s="13">
        <v>0</v>
      </c>
      <c r="M292" s="14" cm="1">
        <f t="array" ref="M292">IFERROR(jauna_bil(D292,F292,J292,B292,L292),"Kluda!")</f>
        <v>4017</v>
      </c>
    </row>
    <row r="293" spans="1:13" x14ac:dyDescent="0.25">
      <c r="A293" s="12">
        <v>33318</v>
      </c>
      <c r="B293" s="13">
        <v>0</v>
      </c>
      <c r="C293" s="12"/>
      <c r="D293" s="13">
        <v>5299</v>
      </c>
      <c r="E293" s="12">
        <v>1</v>
      </c>
      <c r="F293" s="13" cm="1">
        <f t="array" ref="F293">IFERROR(atlaide(E293,B293),"Kluda!")</f>
        <v>0</v>
      </c>
      <c r="G293" s="13"/>
      <c r="H293" s="12">
        <v>1</v>
      </c>
      <c r="I293" s="12"/>
      <c r="J293" s="13" cm="1">
        <f t="array" ref="J293">palidzibas_d(H293,I293)</f>
        <v>0</v>
      </c>
      <c r="K293" s="13">
        <f>IFERROR(('Invoice Data'!$B293+'Invoice Data'!$D293-'Invoice Data'!$F293-'Invoice Data'!$J293+'Invoice Data'!$G293),"Kluda!")</f>
        <v>5299</v>
      </c>
      <c r="L293" s="13">
        <v>0</v>
      </c>
      <c r="M293" s="14" cm="1">
        <f t="array" ref="M293">IFERROR(jauna_bil(D293,F293,J293,B293,L293),"Kluda!")</f>
        <v>5299</v>
      </c>
    </row>
    <row r="294" spans="1:13" x14ac:dyDescent="0.25">
      <c r="A294" s="12">
        <v>33327</v>
      </c>
      <c r="B294" s="13">
        <v>0</v>
      </c>
      <c r="C294" s="12"/>
      <c r="D294" s="13">
        <v>8227</v>
      </c>
      <c r="E294" s="12">
        <v>2</v>
      </c>
      <c r="F294" s="13" cm="1">
        <f t="array" ref="F294">IFERROR(atlaide(E294,B294),"Kluda!")</f>
        <v>0</v>
      </c>
      <c r="G294" s="13"/>
      <c r="H294" s="12">
        <v>2</v>
      </c>
      <c r="I294" s="12"/>
      <c r="J294" s="13" cm="1">
        <f t="array" ref="J294">palidzibas_d(H294,I294)</f>
        <v>0</v>
      </c>
      <c r="K294" s="13">
        <f>IFERROR(('Invoice Data'!$B294+'Invoice Data'!$D294-'Invoice Data'!$F294-'Invoice Data'!$J294+'Invoice Data'!$G294),"Kluda!")</f>
        <v>8227</v>
      </c>
      <c r="L294" s="13">
        <v>0</v>
      </c>
      <c r="M294" s="14" cm="1">
        <f t="array" ref="M294">IFERROR(jauna_bil(D294,F294,J294,B294,L294),"Kluda!")</f>
        <v>8227</v>
      </c>
    </row>
    <row r="295" spans="1:13" x14ac:dyDescent="0.25">
      <c r="A295" s="12">
        <v>33336</v>
      </c>
      <c r="B295" s="13">
        <v>0</v>
      </c>
      <c r="C295" s="12"/>
      <c r="D295" s="13">
        <v>6596</v>
      </c>
      <c r="E295" s="12">
        <v>2</v>
      </c>
      <c r="F295" s="13" cm="1">
        <f t="array" ref="F295">IFERROR(atlaide(E295,B295),"Kluda!")</f>
        <v>0</v>
      </c>
      <c r="G295" s="13"/>
      <c r="H295" s="12">
        <v>2</v>
      </c>
      <c r="I295" s="12"/>
      <c r="J295" s="13" cm="1">
        <f t="array" ref="J295">palidzibas_d(H295,I295)</f>
        <v>0</v>
      </c>
      <c r="K295" s="13">
        <f>IFERROR(('Invoice Data'!$B295+'Invoice Data'!$D295-'Invoice Data'!$F295-'Invoice Data'!$J295+'Invoice Data'!$G295),"Kluda!")</f>
        <v>6596</v>
      </c>
      <c r="L295" s="13">
        <v>0</v>
      </c>
      <c r="M295" s="14" cm="1">
        <f t="array" ref="M295">IFERROR(jauna_bil(D295,F295,J295,B295,L295),"Kluda!")</f>
        <v>6596</v>
      </c>
    </row>
    <row r="296" spans="1:13" x14ac:dyDescent="0.25">
      <c r="A296" s="12">
        <v>33345</v>
      </c>
      <c r="B296" s="13">
        <v>0</v>
      </c>
      <c r="C296" s="12"/>
      <c r="D296" s="13">
        <v>4734</v>
      </c>
      <c r="E296" s="12">
        <v>1</v>
      </c>
      <c r="F296" s="13" cm="1">
        <f t="array" ref="F296">IFERROR(atlaide(E296,B296),"Kluda!")</f>
        <v>0</v>
      </c>
      <c r="G296" s="13"/>
      <c r="H296" s="12">
        <v>11</v>
      </c>
      <c r="I296" s="12"/>
      <c r="J296" s="13" cm="1">
        <f t="array" ref="J296">palidzibas_d(H296,I296)</f>
        <v>0</v>
      </c>
      <c r="K296" s="13">
        <f>IFERROR(('Invoice Data'!$B296+'Invoice Data'!$D296-'Invoice Data'!$F296-'Invoice Data'!$J296+'Invoice Data'!$G296),"Kluda!")</f>
        <v>4734</v>
      </c>
      <c r="L296" s="13">
        <v>0</v>
      </c>
      <c r="M296" s="14" cm="1">
        <f t="array" ref="M296">IFERROR(jauna_bil(D296,F296,J296,B296,L296),"Kluda!")</f>
        <v>4734</v>
      </c>
    </row>
    <row r="297" spans="1:13" x14ac:dyDescent="0.25">
      <c r="A297" s="12">
        <v>33354</v>
      </c>
      <c r="B297" s="13">
        <v>0</v>
      </c>
      <c r="C297" s="12"/>
      <c r="D297" s="13">
        <v>5112</v>
      </c>
      <c r="E297" s="12">
        <v>1</v>
      </c>
      <c r="F297" s="13" cm="1">
        <f t="array" ref="F297">IFERROR(atlaide(E297,B297),"Kluda!")</f>
        <v>0</v>
      </c>
      <c r="G297" s="13"/>
      <c r="H297" s="12">
        <v>8</v>
      </c>
      <c r="I297" s="12"/>
      <c r="J297" s="13" cm="1">
        <f t="array" ref="J297">palidzibas_d(H297,I297)</f>
        <v>0</v>
      </c>
      <c r="K297" s="13">
        <f>IFERROR(('Invoice Data'!$B297+'Invoice Data'!$D297-'Invoice Data'!$F297-'Invoice Data'!$J297+'Invoice Data'!$G297),"Kluda!")</f>
        <v>5112</v>
      </c>
      <c r="L297" s="13">
        <v>0</v>
      </c>
      <c r="M297" s="14" cm="1">
        <f t="array" ref="M297">IFERROR(jauna_bil(D297,F297,J297,B297,L297),"Kluda!")</f>
        <v>5112</v>
      </c>
    </row>
    <row r="298" spans="1:13" x14ac:dyDescent="0.25">
      <c r="A298" s="12">
        <v>33363</v>
      </c>
      <c r="B298" s="13">
        <v>0</v>
      </c>
      <c r="C298" s="12"/>
      <c r="D298" s="13">
        <v>8008</v>
      </c>
      <c r="E298" s="12">
        <v>2</v>
      </c>
      <c r="F298" s="13" cm="1">
        <f t="array" ref="F298">IFERROR(atlaide(E298,B298),"Kluda!")</f>
        <v>0</v>
      </c>
      <c r="G298" s="13"/>
      <c r="H298" s="12">
        <v>7</v>
      </c>
      <c r="I298" s="12"/>
      <c r="J298" s="13" cm="1">
        <f t="array" ref="J298">palidzibas_d(H298,I298)</f>
        <v>0</v>
      </c>
      <c r="K298" s="13">
        <f>IFERROR(('Invoice Data'!$B298+'Invoice Data'!$D298-'Invoice Data'!$F298-'Invoice Data'!$J298+'Invoice Data'!$G298),"Kluda!")</f>
        <v>8008</v>
      </c>
      <c r="L298" s="13">
        <v>0</v>
      </c>
      <c r="M298" s="14" cm="1">
        <f t="array" ref="M298">IFERROR(jauna_bil(D298,F298,J298,B298,L298),"Kluda!")</f>
        <v>8008</v>
      </c>
    </row>
    <row r="299" spans="1:13" x14ac:dyDescent="0.25">
      <c r="A299" s="12">
        <v>33372</v>
      </c>
      <c r="B299" s="13">
        <v>0</v>
      </c>
      <c r="C299" s="12"/>
      <c r="D299" s="13">
        <v>8232</v>
      </c>
      <c r="E299" s="12">
        <v>2</v>
      </c>
      <c r="F299" s="13" cm="1">
        <f t="array" ref="F299">IFERROR(atlaide(E299,B299),"Kluda!")</f>
        <v>0</v>
      </c>
      <c r="G299" s="13"/>
      <c r="H299" s="12">
        <v>6</v>
      </c>
      <c r="I299" s="12"/>
      <c r="J299" s="13" cm="1">
        <f t="array" ref="J299">palidzibas_d(H299,I299)</f>
        <v>0</v>
      </c>
      <c r="K299" s="13">
        <f>IFERROR(('Invoice Data'!$B299+'Invoice Data'!$D299-'Invoice Data'!$F299-'Invoice Data'!$J299+'Invoice Data'!$G299),"Kluda!")</f>
        <v>8232</v>
      </c>
      <c r="L299" s="13">
        <v>0</v>
      </c>
      <c r="M299" s="14" cm="1">
        <f t="array" ref="M299">IFERROR(jauna_bil(D299,F299,J299,B299,L299),"Kluda!")</f>
        <v>8232</v>
      </c>
    </row>
    <row r="300" spans="1:13" x14ac:dyDescent="0.25">
      <c r="A300" s="12">
        <v>33381</v>
      </c>
      <c r="B300" s="13">
        <v>0</v>
      </c>
      <c r="C300" s="12"/>
      <c r="D300" s="13">
        <v>9214</v>
      </c>
      <c r="E300" s="12">
        <v>2</v>
      </c>
      <c r="F300" s="13" cm="1">
        <f t="array" ref="F300">IFERROR(atlaide(E300,B300),"Kluda!")</f>
        <v>0</v>
      </c>
      <c r="G300" s="13"/>
      <c r="H300" s="12">
        <v>11</v>
      </c>
      <c r="I300" s="12"/>
      <c r="J300" s="13" cm="1">
        <f t="array" ref="J300">palidzibas_d(H300,I300)</f>
        <v>0</v>
      </c>
      <c r="K300" s="13">
        <f>IFERROR(('Invoice Data'!$B300+'Invoice Data'!$D300-'Invoice Data'!$F300-'Invoice Data'!$J300+'Invoice Data'!$G300),"Kluda!")</f>
        <v>9214</v>
      </c>
      <c r="L300" s="13">
        <v>0</v>
      </c>
      <c r="M300" s="14" cm="1">
        <f t="array" ref="M300">IFERROR(jauna_bil(D300,F300,J300,B300,L300),"Kluda!")</f>
        <v>9214</v>
      </c>
    </row>
    <row r="301" spans="1:13" x14ac:dyDescent="0.25">
      <c r="A301" s="12">
        <v>33390</v>
      </c>
      <c r="B301" s="13">
        <v>0</v>
      </c>
      <c r="C301" s="12"/>
      <c r="D301" s="13">
        <v>8796</v>
      </c>
      <c r="E301" s="12">
        <v>2</v>
      </c>
      <c r="F301" s="13" cm="1">
        <f t="array" ref="F301">IFERROR(atlaide(E301,B301),"Kluda!")</f>
        <v>0</v>
      </c>
      <c r="G301" s="13"/>
      <c r="H301" s="12">
        <v>8</v>
      </c>
      <c r="I301" s="12"/>
      <c r="J301" s="13" cm="1">
        <f t="array" ref="J301">palidzibas_d(H301,I301)</f>
        <v>0</v>
      </c>
      <c r="K301" s="13">
        <f>IFERROR(('Invoice Data'!$B301+'Invoice Data'!$D301-'Invoice Data'!$F301-'Invoice Data'!$J301+'Invoice Data'!$G301),"Kluda!")</f>
        <v>8796</v>
      </c>
      <c r="L301" s="13">
        <v>0</v>
      </c>
      <c r="M301" s="14" cm="1">
        <f t="array" ref="M301">IFERROR(jauna_bil(D301,F301,J301,B301,L301),"Kluda!")</f>
        <v>8796</v>
      </c>
    </row>
    <row r="302" spans="1:13" x14ac:dyDescent="0.25">
      <c r="A302" s="12">
        <v>33407</v>
      </c>
      <c r="B302" s="13">
        <v>0</v>
      </c>
      <c r="C302" s="12"/>
      <c r="D302" s="13">
        <v>4030</v>
      </c>
      <c r="E302" s="12">
        <v>1</v>
      </c>
      <c r="F302" s="13" cm="1">
        <f t="array" ref="F302">IFERROR(atlaide(E302,B302),"Kluda!")</f>
        <v>0</v>
      </c>
      <c r="G302" s="13"/>
      <c r="H302" s="12">
        <v>10</v>
      </c>
      <c r="I302" s="12"/>
      <c r="J302" s="13" cm="1">
        <f t="array" ref="J302">palidzibas_d(H302,I302)</f>
        <v>0</v>
      </c>
      <c r="K302" s="13">
        <f>IFERROR(('Invoice Data'!$B302+'Invoice Data'!$D302-'Invoice Data'!$F302-'Invoice Data'!$J302+'Invoice Data'!$G302),"Kluda!")</f>
        <v>4030</v>
      </c>
      <c r="L302" s="13">
        <v>0</v>
      </c>
      <c r="M302" s="14" cm="1">
        <f t="array" ref="M302">IFERROR(jauna_bil(D302,F302,J302,B302,L302),"Kluda!")</f>
        <v>4030</v>
      </c>
    </row>
    <row r="303" spans="1:13" x14ac:dyDescent="0.25">
      <c r="A303" s="12">
        <v>33416</v>
      </c>
      <c r="B303" s="13">
        <v>0</v>
      </c>
      <c r="C303" s="12"/>
      <c r="D303" s="13">
        <v>3877</v>
      </c>
      <c r="E303" s="12">
        <v>1</v>
      </c>
      <c r="F303" s="13" cm="1">
        <f t="array" ref="F303">IFERROR(atlaide(E303,B303),"Kluda!")</f>
        <v>0</v>
      </c>
      <c r="G303" s="13"/>
      <c r="H303" s="12">
        <v>6</v>
      </c>
      <c r="I303" s="12"/>
      <c r="J303" s="13" cm="1">
        <f t="array" ref="J303">palidzibas_d(H303,I303)</f>
        <v>0</v>
      </c>
      <c r="K303" s="13">
        <f>IFERROR(('Invoice Data'!$B303+'Invoice Data'!$D303-'Invoice Data'!$F303-'Invoice Data'!$J303+'Invoice Data'!$G303),"Kluda!")</f>
        <v>3877</v>
      </c>
      <c r="L303" s="13">
        <v>0</v>
      </c>
      <c r="M303" s="14" cm="1">
        <f t="array" ref="M303">IFERROR(jauna_bil(D303,F303,J303,B303,L303),"Kluda!")</f>
        <v>3877</v>
      </c>
    </row>
    <row r="304" spans="1:13" x14ac:dyDescent="0.25">
      <c r="A304" s="12">
        <v>33425</v>
      </c>
      <c r="B304" s="13">
        <v>0</v>
      </c>
      <c r="C304" s="12"/>
      <c r="D304" s="13">
        <v>8711</v>
      </c>
      <c r="E304" s="12">
        <v>2</v>
      </c>
      <c r="F304" s="13" cm="1">
        <f t="array" ref="F304">IFERROR(atlaide(E304,B304),"Kluda!")</f>
        <v>0</v>
      </c>
      <c r="G304" s="13"/>
      <c r="H304" s="12">
        <v>11</v>
      </c>
      <c r="I304" s="12"/>
      <c r="J304" s="13" cm="1">
        <f t="array" ref="J304">palidzibas_d(H304,I304)</f>
        <v>0</v>
      </c>
      <c r="K304" s="13">
        <f>IFERROR(('Invoice Data'!$B304+'Invoice Data'!$D304-'Invoice Data'!$F304-'Invoice Data'!$J304+'Invoice Data'!$G304),"Kluda!")</f>
        <v>8711</v>
      </c>
      <c r="L304" s="13">
        <v>0</v>
      </c>
      <c r="M304" s="14" cm="1">
        <f t="array" ref="M304">IFERROR(jauna_bil(D304,F304,J304,B304,L304),"Kluda!")</f>
        <v>8711</v>
      </c>
    </row>
    <row r="305" spans="1:13" x14ac:dyDescent="0.25">
      <c r="A305" s="12">
        <v>33434</v>
      </c>
      <c r="B305" s="13">
        <v>0</v>
      </c>
      <c r="C305" s="12"/>
      <c r="D305" s="13">
        <v>5231</v>
      </c>
      <c r="E305" s="12">
        <v>1</v>
      </c>
      <c r="F305" s="13" cm="1">
        <f t="array" ref="F305">IFERROR(atlaide(E305,B305),"Kluda!")</f>
        <v>0</v>
      </c>
      <c r="G305" s="13"/>
      <c r="H305" s="12">
        <v>14</v>
      </c>
      <c r="I305" s="12"/>
      <c r="J305" s="13" cm="1">
        <f t="array" ref="J305">palidzibas_d(H305,I305)</f>
        <v>0</v>
      </c>
      <c r="K305" s="13">
        <f>IFERROR(('Invoice Data'!$B305+'Invoice Data'!$D305-'Invoice Data'!$F305-'Invoice Data'!$J305+'Invoice Data'!$G305),"Kluda!")</f>
        <v>5231</v>
      </c>
      <c r="L305" s="13">
        <v>0</v>
      </c>
      <c r="M305" s="14" cm="1">
        <f t="array" ref="M305">IFERROR(jauna_bil(D305,F305,J305,B305,L305),"Kluda!")</f>
        <v>5231</v>
      </c>
    </row>
    <row r="306" spans="1:13" x14ac:dyDescent="0.25">
      <c r="A306" s="12">
        <v>33443</v>
      </c>
      <c r="B306" s="13">
        <v>0</v>
      </c>
      <c r="C306" s="12"/>
      <c r="D306" s="13">
        <v>6951</v>
      </c>
      <c r="E306" s="12">
        <v>2</v>
      </c>
      <c r="F306" s="13" cm="1">
        <f t="array" ref="F306">IFERROR(atlaide(E306,B306),"Kluda!")</f>
        <v>0</v>
      </c>
      <c r="G306" s="13"/>
      <c r="H306" s="12">
        <v>7</v>
      </c>
      <c r="I306" s="12"/>
      <c r="J306" s="13" cm="1">
        <f t="array" ref="J306">palidzibas_d(H306,I306)</f>
        <v>0</v>
      </c>
      <c r="K306" s="13">
        <f>IFERROR(('Invoice Data'!$B306+'Invoice Data'!$D306-'Invoice Data'!$F306-'Invoice Data'!$J306+'Invoice Data'!$G306),"Kluda!")</f>
        <v>6951</v>
      </c>
      <c r="L306" s="13">
        <v>0</v>
      </c>
      <c r="M306" s="14" cm="1">
        <f t="array" ref="M306">IFERROR(jauna_bil(D306,F306,J306,B306,L306),"Kluda!")</f>
        <v>6951</v>
      </c>
    </row>
    <row r="307" spans="1:13" x14ac:dyDescent="0.25">
      <c r="A307" s="12">
        <v>33452</v>
      </c>
      <c r="B307" s="13">
        <v>0</v>
      </c>
      <c r="C307" s="12"/>
      <c r="D307" s="13">
        <v>10132</v>
      </c>
      <c r="E307" s="12">
        <v>2</v>
      </c>
      <c r="F307" s="13" cm="1">
        <f t="array" ref="F307">IFERROR(atlaide(E307,B307),"Kluda!")</f>
        <v>0</v>
      </c>
      <c r="G307" s="13"/>
      <c r="H307" s="12">
        <v>10</v>
      </c>
      <c r="I307" s="12"/>
      <c r="J307" s="13" cm="1">
        <f t="array" ref="J307">palidzibas_d(H307,I307)</f>
        <v>0</v>
      </c>
      <c r="K307" s="13">
        <f>IFERROR(('Invoice Data'!$B307+'Invoice Data'!$D307-'Invoice Data'!$F307-'Invoice Data'!$J307+'Invoice Data'!$G307),"Kluda!")</f>
        <v>10132</v>
      </c>
      <c r="L307" s="13">
        <v>0</v>
      </c>
      <c r="M307" s="14" cm="1">
        <f t="array" ref="M307">IFERROR(jauna_bil(D307,F307,J307,B307,L307),"Kluda!")</f>
        <v>10132</v>
      </c>
    </row>
    <row r="308" spans="1:13" x14ac:dyDescent="0.25">
      <c r="A308" s="12">
        <v>33461</v>
      </c>
      <c r="B308" s="13">
        <v>0</v>
      </c>
      <c r="C308" s="12"/>
      <c r="D308" s="13">
        <v>5341</v>
      </c>
      <c r="E308" s="12">
        <v>1</v>
      </c>
      <c r="F308" s="13" cm="1">
        <f t="array" ref="F308">IFERROR(atlaide(E308,B308),"Kluda!")</f>
        <v>0</v>
      </c>
      <c r="G308" s="13"/>
      <c r="H308" s="12">
        <v>10</v>
      </c>
      <c r="I308" s="12"/>
      <c r="J308" s="13" cm="1">
        <f t="array" ref="J308">palidzibas_d(H308,I308)</f>
        <v>0</v>
      </c>
      <c r="K308" s="13">
        <f>IFERROR(('Invoice Data'!$B308+'Invoice Data'!$D308-'Invoice Data'!$F308-'Invoice Data'!$J308+'Invoice Data'!$G308),"Kluda!")</f>
        <v>5341</v>
      </c>
      <c r="L308" s="13">
        <v>0</v>
      </c>
      <c r="M308" s="14" cm="1">
        <f t="array" ref="M308">IFERROR(jauna_bil(D308,F308,J308,B308,L308),"Kluda!")</f>
        <v>5341</v>
      </c>
    </row>
    <row r="309" spans="1:13" x14ac:dyDescent="0.25">
      <c r="A309" s="12">
        <v>33470</v>
      </c>
      <c r="B309" s="13">
        <v>0</v>
      </c>
      <c r="C309" s="12"/>
      <c r="D309" s="13">
        <v>7625</v>
      </c>
      <c r="E309" s="12">
        <v>2</v>
      </c>
      <c r="F309" s="13" cm="1">
        <f t="array" ref="F309">IFERROR(atlaide(E309,B309),"Kluda!")</f>
        <v>0</v>
      </c>
      <c r="G309" s="13"/>
      <c r="H309" s="12">
        <v>12</v>
      </c>
      <c r="I309" s="12"/>
      <c r="J309" s="13" cm="1">
        <f t="array" ref="J309">palidzibas_d(H309,I309)</f>
        <v>0</v>
      </c>
      <c r="K309" s="13">
        <f>IFERROR(('Invoice Data'!$B309+'Invoice Data'!$D309-'Invoice Data'!$F309-'Invoice Data'!$J309+'Invoice Data'!$G309),"Kluda!")</f>
        <v>7625</v>
      </c>
      <c r="L309" s="13">
        <v>0</v>
      </c>
      <c r="M309" s="14" cm="1">
        <f t="array" ref="M309">IFERROR(jauna_bil(D309,F309,J309,B309,L309),"Kluda!")</f>
        <v>7625</v>
      </c>
    </row>
    <row r="310" spans="1:13" x14ac:dyDescent="0.25">
      <c r="A310" s="12">
        <v>33489</v>
      </c>
      <c r="B310" s="13">
        <v>0</v>
      </c>
      <c r="C310" s="12"/>
      <c r="D310" s="13">
        <v>4093</v>
      </c>
      <c r="E310" s="12">
        <v>1</v>
      </c>
      <c r="F310" s="13" cm="1">
        <f t="array" ref="F310">IFERROR(atlaide(E310,B310),"Kluda!")</f>
        <v>0</v>
      </c>
      <c r="G310" s="13"/>
      <c r="H310" s="12">
        <v>4</v>
      </c>
      <c r="I310" s="12"/>
      <c r="J310" s="13" cm="1">
        <f t="array" ref="J310">palidzibas_d(H310,I310)</f>
        <v>0</v>
      </c>
      <c r="K310" s="13">
        <f>IFERROR(('Invoice Data'!$B310+'Invoice Data'!$D310-'Invoice Data'!$F310-'Invoice Data'!$J310+'Invoice Data'!$G310),"Kluda!")</f>
        <v>4093</v>
      </c>
      <c r="L310" s="13">
        <v>0</v>
      </c>
      <c r="M310" s="14" cm="1">
        <f t="array" ref="M310">IFERROR(jauna_bil(D310,F310,J310,B310,L310),"Kluda!")</f>
        <v>4093</v>
      </c>
    </row>
    <row r="311" spans="1:13" x14ac:dyDescent="0.25">
      <c r="A311" s="12">
        <v>33498</v>
      </c>
      <c r="B311" s="13">
        <v>0</v>
      </c>
      <c r="C311" s="12"/>
      <c r="D311" s="13">
        <v>3696</v>
      </c>
      <c r="E311" s="12">
        <v>1</v>
      </c>
      <c r="F311" s="13" cm="1">
        <f t="array" ref="F311">IFERROR(atlaide(E311,B311),"Kluda!")</f>
        <v>0</v>
      </c>
      <c r="G311" s="13"/>
      <c r="H311" s="12">
        <v>15</v>
      </c>
      <c r="I311" s="12"/>
      <c r="J311" s="13" cm="1">
        <f t="array" ref="J311">palidzibas_d(H311,I311)</f>
        <v>0</v>
      </c>
      <c r="K311" s="13">
        <f>IFERROR(('Invoice Data'!$B311+'Invoice Data'!$D311-'Invoice Data'!$F311-'Invoice Data'!$J311+'Invoice Data'!$G311),"Kluda!")</f>
        <v>3696</v>
      </c>
      <c r="L311" s="13">
        <v>0</v>
      </c>
      <c r="M311" s="14" cm="1">
        <f t="array" ref="M311">IFERROR(jauna_bil(D311,F311,J311,B311,L311),"Kluda!")</f>
        <v>3696</v>
      </c>
    </row>
    <row r="312" spans="1:13" x14ac:dyDescent="0.25">
      <c r="A312" s="12">
        <v>33504</v>
      </c>
      <c r="B312" s="13">
        <v>0</v>
      </c>
      <c r="C312" s="12"/>
      <c r="D312" s="13">
        <v>7887</v>
      </c>
      <c r="E312" s="12">
        <v>2</v>
      </c>
      <c r="F312" s="13" cm="1">
        <f t="array" ref="F312">IFERROR(atlaide(E312,B312),"Kluda!")</f>
        <v>0</v>
      </c>
      <c r="G312" s="13"/>
      <c r="H312" s="12">
        <v>1</v>
      </c>
      <c r="I312" s="12"/>
      <c r="J312" s="13" cm="1">
        <f t="array" ref="J312">palidzibas_d(H312,I312)</f>
        <v>0</v>
      </c>
      <c r="K312" s="13">
        <f>IFERROR(('Invoice Data'!$B312+'Invoice Data'!$D312-'Invoice Data'!$F312-'Invoice Data'!$J312+'Invoice Data'!$G312),"Kluda!")</f>
        <v>7887</v>
      </c>
      <c r="L312" s="13">
        <v>0</v>
      </c>
      <c r="M312" s="14" cm="1">
        <f t="array" ref="M312">IFERROR(jauna_bil(D312,F312,J312,B312,L312),"Kluda!")</f>
        <v>7887</v>
      </c>
    </row>
    <row r="313" spans="1:13" x14ac:dyDescent="0.25">
      <c r="A313" s="12">
        <v>33513</v>
      </c>
      <c r="B313" s="13">
        <v>0</v>
      </c>
      <c r="C313" s="12"/>
      <c r="D313" s="13">
        <v>8749</v>
      </c>
      <c r="E313" s="12">
        <v>2</v>
      </c>
      <c r="F313" s="13" cm="1">
        <f t="array" ref="F313">IFERROR(atlaide(E313,B313),"Kluda!")</f>
        <v>0</v>
      </c>
      <c r="G313" s="13"/>
      <c r="H313" s="12">
        <v>2</v>
      </c>
      <c r="I313" s="12"/>
      <c r="J313" s="13" cm="1">
        <f t="array" ref="J313">palidzibas_d(H313,I313)</f>
        <v>0</v>
      </c>
      <c r="K313" s="13">
        <f>IFERROR(('Invoice Data'!$B313+'Invoice Data'!$D313-'Invoice Data'!$F313-'Invoice Data'!$J313+'Invoice Data'!$G313),"Kluda!")</f>
        <v>8749</v>
      </c>
      <c r="L313" s="13">
        <v>0</v>
      </c>
      <c r="M313" s="14" cm="1">
        <f t="array" ref="M313">IFERROR(jauna_bil(D313,F313,J313,B313,L313),"Kluda!")</f>
        <v>8749</v>
      </c>
    </row>
    <row r="314" spans="1:13" x14ac:dyDescent="0.25">
      <c r="A314" s="12">
        <v>33522</v>
      </c>
      <c r="B314" s="13">
        <v>0</v>
      </c>
      <c r="C314" s="12"/>
      <c r="D314" s="13">
        <v>4712</v>
      </c>
      <c r="E314" s="12">
        <v>1</v>
      </c>
      <c r="F314" s="13" cm="1">
        <f t="array" ref="F314">IFERROR(atlaide(E314,B314),"Kluda!")</f>
        <v>0</v>
      </c>
      <c r="G314" s="13"/>
      <c r="H314" s="12">
        <v>0</v>
      </c>
      <c r="I314" s="12"/>
      <c r="J314" s="13" cm="1">
        <f t="array" ref="J314">palidzibas_d(H314,I314)</f>
        <v>0</v>
      </c>
      <c r="K314" s="13">
        <f>IFERROR(('Invoice Data'!$B314+'Invoice Data'!$D314-'Invoice Data'!$F314-'Invoice Data'!$J314+'Invoice Data'!$G314),"Kluda!")</f>
        <v>4712</v>
      </c>
      <c r="L314" s="13">
        <v>0</v>
      </c>
      <c r="M314" s="14" cm="1">
        <f t="array" ref="M314">IFERROR(jauna_bil(D314,F314,J314,B314,L314),"Kluda!")</f>
        <v>4712</v>
      </c>
    </row>
    <row r="315" spans="1:13" x14ac:dyDescent="0.25">
      <c r="A315" s="12">
        <v>33531</v>
      </c>
      <c r="B315" s="13">
        <v>0</v>
      </c>
      <c r="C315" s="12"/>
      <c r="D315" s="13">
        <v>3181</v>
      </c>
      <c r="E315" s="12">
        <v>1</v>
      </c>
      <c r="F315" s="13" cm="1">
        <f t="array" ref="F315">IFERROR(atlaide(E315,B315),"Kluda!")</f>
        <v>0</v>
      </c>
      <c r="G315" s="13"/>
      <c r="H315" s="12">
        <v>13</v>
      </c>
      <c r="I315" s="12"/>
      <c r="J315" s="13" cm="1">
        <f t="array" ref="J315">palidzibas_d(H315,I315)</f>
        <v>0</v>
      </c>
      <c r="K315" s="13">
        <f>IFERROR(('Invoice Data'!$B315+'Invoice Data'!$D315-'Invoice Data'!$F315-'Invoice Data'!$J315+'Invoice Data'!$G315),"Kluda!")</f>
        <v>3181</v>
      </c>
      <c r="L315" s="13">
        <v>0</v>
      </c>
      <c r="M315" s="14" cm="1">
        <f t="array" ref="M315">IFERROR(jauna_bil(D315,F315,J315,B315,L315),"Kluda!")</f>
        <v>3181</v>
      </c>
    </row>
    <row r="316" spans="1:13" x14ac:dyDescent="0.25">
      <c r="A316" s="12">
        <v>33540</v>
      </c>
      <c r="B316" s="13">
        <v>0</v>
      </c>
      <c r="C316" s="12"/>
      <c r="D316" s="13">
        <v>10031</v>
      </c>
      <c r="E316" s="12">
        <v>2</v>
      </c>
      <c r="F316" s="13" cm="1">
        <f t="array" ref="F316">IFERROR(atlaide(E316,B316),"Kluda!")</f>
        <v>0</v>
      </c>
      <c r="G316" s="13"/>
      <c r="H316" s="12">
        <v>13</v>
      </c>
      <c r="I316" s="12"/>
      <c r="J316" s="13" cm="1">
        <f t="array" ref="J316">palidzibas_d(H316,I316)</f>
        <v>0</v>
      </c>
      <c r="K316" s="13">
        <f>IFERROR(('Invoice Data'!$B316+'Invoice Data'!$D316-'Invoice Data'!$F316-'Invoice Data'!$J316+'Invoice Data'!$G316),"Kluda!")</f>
        <v>10031</v>
      </c>
      <c r="L316" s="13">
        <v>0</v>
      </c>
      <c r="M316" s="14" cm="1">
        <f t="array" ref="M316">IFERROR(jauna_bil(D316,F316,J316,B316,L316),"Kluda!")</f>
        <v>10031</v>
      </c>
    </row>
    <row r="317" spans="1:13" x14ac:dyDescent="0.25">
      <c r="A317" s="12">
        <v>33559</v>
      </c>
      <c r="B317" s="13">
        <v>0</v>
      </c>
      <c r="C317" s="12"/>
      <c r="D317" s="13">
        <v>5120</v>
      </c>
      <c r="E317" s="12">
        <v>1</v>
      </c>
      <c r="F317" s="13" cm="1">
        <f t="array" ref="F317">IFERROR(atlaide(E317,B317),"Kluda!")</f>
        <v>0</v>
      </c>
      <c r="G317" s="13"/>
      <c r="H317" s="12">
        <v>8</v>
      </c>
      <c r="I317" s="12"/>
      <c r="J317" s="13" cm="1">
        <f t="array" ref="J317">palidzibas_d(H317,I317)</f>
        <v>0</v>
      </c>
      <c r="K317" s="13">
        <f>IFERROR(('Invoice Data'!$B317+'Invoice Data'!$D317-'Invoice Data'!$F317-'Invoice Data'!$J317+'Invoice Data'!$G317),"Kluda!")</f>
        <v>5120</v>
      </c>
      <c r="L317" s="13">
        <v>0</v>
      </c>
      <c r="M317" s="14" cm="1">
        <f t="array" ref="M317">IFERROR(jauna_bil(D317,F317,J317,B317,L317),"Kluda!")</f>
        <v>5120</v>
      </c>
    </row>
    <row r="318" spans="1:13" x14ac:dyDescent="0.25">
      <c r="A318" s="12">
        <v>33568</v>
      </c>
      <c r="B318" s="13">
        <v>0</v>
      </c>
      <c r="C318" s="12"/>
      <c r="D318" s="13">
        <v>9001</v>
      </c>
      <c r="E318" s="12">
        <v>2</v>
      </c>
      <c r="F318" s="13" cm="1">
        <f t="array" ref="F318">IFERROR(atlaide(E318,B318),"Kluda!")</f>
        <v>0</v>
      </c>
      <c r="G318" s="13"/>
      <c r="H318" s="12">
        <v>13</v>
      </c>
      <c r="I318" s="12"/>
      <c r="J318" s="13" cm="1">
        <f t="array" ref="J318">palidzibas_d(H318,I318)</f>
        <v>0</v>
      </c>
      <c r="K318" s="13">
        <f>IFERROR(('Invoice Data'!$B318+'Invoice Data'!$D318-'Invoice Data'!$F318-'Invoice Data'!$J318+'Invoice Data'!$G318),"Kluda!")</f>
        <v>9001</v>
      </c>
      <c r="L318" s="13">
        <v>0</v>
      </c>
      <c r="M318" s="14" cm="1">
        <f t="array" ref="M318">IFERROR(jauna_bil(D318,F318,J318,B318,L318),"Kluda!")</f>
        <v>9001</v>
      </c>
    </row>
    <row r="319" spans="1:13" x14ac:dyDescent="0.25">
      <c r="A319" s="12">
        <v>33577</v>
      </c>
      <c r="B319" s="13">
        <v>0</v>
      </c>
      <c r="C319" s="12"/>
      <c r="D319" s="13">
        <v>9600</v>
      </c>
      <c r="E319" s="12">
        <v>2</v>
      </c>
      <c r="F319" s="13" cm="1">
        <f t="array" ref="F319">IFERROR(atlaide(E319,B319),"Kluda!")</f>
        <v>0</v>
      </c>
      <c r="G319" s="13"/>
      <c r="H319" s="12">
        <v>12</v>
      </c>
      <c r="I319" s="12"/>
      <c r="J319" s="13" cm="1">
        <f t="array" ref="J319">palidzibas_d(H319,I319)</f>
        <v>0</v>
      </c>
      <c r="K319" s="13">
        <f>IFERROR(('Invoice Data'!$B319+'Invoice Data'!$D319-'Invoice Data'!$F319-'Invoice Data'!$J319+'Invoice Data'!$G319),"Kluda!")</f>
        <v>9600</v>
      </c>
      <c r="L319" s="13">
        <v>0</v>
      </c>
      <c r="M319" s="14" cm="1">
        <f t="array" ref="M319">IFERROR(jauna_bil(D319,F319,J319,B319,L319),"Kluda!")</f>
        <v>9600</v>
      </c>
    </row>
    <row r="320" spans="1:13" x14ac:dyDescent="0.25">
      <c r="A320" s="12">
        <v>33586</v>
      </c>
      <c r="B320" s="13">
        <v>-1802</v>
      </c>
      <c r="C320" s="12"/>
      <c r="D320" s="13">
        <v>6356</v>
      </c>
      <c r="E320" s="12">
        <v>2</v>
      </c>
      <c r="F320" s="13" cm="1">
        <f t="array" ref="F320">IFERROR(atlaide(E320,B320),"Kluda!")</f>
        <v>-108.12</v>
      </c>
      <c r="G320" s="13"/>
      <c r="H320" s="12">
        <v>0</v>
      </c>
      <c r="I320" s="12"/>
      <c r="J320" s="13" cm="1">
        <f t="array" ref="J320">palidzibas_d(H320,I320)</f>
        <v>0</v>
      </c>
      <c r="K320" s="13">
        <f>IFERROR(('Invoice Data'!$B320+'Invoice Data'!$D320-'Invoice Data'!$F320-'Invoice Data'!$J320+'Invoice Data'!$G320),"Kluda!")</f>
        <v>4662.12</v>
      </c>
      <c r="L320" s="13">
        <v>0</v>
      </c>
      <c r="M320" s="14" cm="1">
        <f t="array" ref="M320">IFERROR(jauna_bil(D320,F320,J320,B320,L320),"Kluda!")</f>
        <v>8266.119999999999</v>
      </c>
    </row>
    <row r="321" spans="1:13" x14ac:dyDescent="0.25">
      <c r="A321" s="12">
        <v>33595</v>
      </c>
      <c r="B321" s="13">
        <v>0</v>
      </c>
      <c r="C321" s="12"/>
      <c r="D321" s="13">
        <v>5241</v>
      </c>
      <c r="E321" s="12">
        <v>1</v>
      </c>
      <c r="F321" s="13" cm="1">
        <f t="array" ref="F321">IFERROR(atlaide(E321,B321),"Kluda!")</f>
        <v>0</v>
      </c>
      <c r="G321" s="13"/>
      <c r="H321" s="12">
        <v>2</v>
      </c>
      <c r="I321" s="12"/>
      <c r="J321" s="13" cm="1">
        <f t="array" ref="J321">palidzibas_d(H321,I321)</f>
        <v>0</v>
      </c>
      <c r="K321" s="13">
        <f>IFERROR(('Invoice Data'!$B321+'Invoice Data'!$D321-'Invoice Data'!$F321-'Invoice Data'!$J321+'Invoice Data'!$G321),"Kluda!")</f>
        <v>5241</v>
      </c>
      <c r="L321" s="13">
        <v>0</v>
      </c>
      <c r="M321" s="14" cm="1">
        <f t="array" ref="M321">IFERROR(jauna_bil(D321,F321,J321,B321,L321),"Kluda!")</f>
        <v>5241</v>
      </c>
    </row>
    <row r="322" spans="1:13" x14ac:dyDescent="0.25">
      <c r="A322" s="12">
        <v>33602</v>
      </c>
      <c r="B322" s="13">
        <v>0</v>
      </c>
      <c r="C322" s="12"/>
      <c r="D322" s="13">
        <v>6363</v>
      </c>
      <c r="E322" s="12">
        <v>2</v>
      </c>
      <c r="F322" s="13" cm="1">
        <f t="array" ref="F322">IFERROR(atlaide(E322,B322),"Kluda!")</f>
        <v>0</v>
      </c>
      <c r="G322" s="13"/>
      <c r="H322" s="12">
        <v>5</v>
      </c>
      <c r="I322" s="12"/>
      <c r="J322" s="13" cm="1">
        <f t="array" ref="J322">palidzibas_d(H322,I322)</f>
        <v>0</v>
      </c>
      <c r="K322" s="13">
        <f>IFERROR(('Invoice Data'!$B322+'Invoice Data'!$D322-'Invoice Data'!$F322-'Invoice Data'!$J322+'Invoice Data'!$G322),"Kluda!")</f>
        <v>6363</v>
      </c>
      <c r="L322" s="13">
        <v>0</v>
      </c>
      <c r="M322" s="14" cm="1">
        <f t="array" ref="M322">IFERROR(jauna_bil(D322,F322,J322,B322,L322),"Kluda!")</f>
        <v>6363</v>
      </c>
    </row>
    <row r="323" spans="1:13" x14ac:dyDescent="0.25">
      <c r="A323" s="12">
        <v>33611</v>
      </c>
      <c r="B323" s="13">
        <v>0</v>
      </c>
      <c r="C323" s="12"/>
      <c r="D323" s="13">
        <v>5055</v>
      </c>
      <c r="E323" s="12">
        <v>1</v>
      </c>
      <c r="F323" s="13" cm="1">
        <f t="array" ref="F323">IFERROR(atlaide(E323,B323),"Kluda!")</f>
        <v>0</v>
      </c>
      <c r="G323" s="13"/>
      <c r="H323" s="12">
        <v>3</v>
      </c>
      <c r="I323" s="12"/>
      <c r="J323" s="13" cm="1">
        <f t="array" ref="J323">palidzibas_d(H323,I323)</f>
        <v>0</v>
      </c>
      <c r="K323" s="13">
        <f>IFERROR(('Invoice Data'!$B323+'Invoice Data'!$D323-'Invoice Data'!$F323-'Invoice Data'!$J323+'Invoice Data'!$G323),"Kluda!")</f>
        <v>5055</v>
      </c>
      <c r="L323" s="13">
        <v>0</v>
      </c>
      <c r="M323" s="14" cm="1">
        <f t="array" ref="M323">IFERROR(jauna_bil(D323,F323,J323,B323,L323),"Kluda!")</f>
        <v>5055</v>
      </c>
    </row>
    <row r="324" spans="1:13" x14ac:dyDescent="0.25">
      <c r="A324" s="12">
        <v>33620</v>
      </c>
      <c r="B324" s="13">
        <v>3643</v>
      </c>
      <c r="C324" s="12"/>
      <c r="D324" s="13">
        <v>5372</v>
      </c>
      <c r="E324" s="12">
        <v>1</v>
      </c>
      <c r="F324" s="13" cm="1">
        <f t="array" ref="F324">IFERROR(atlaide(E324,B324),"Kluda!")</f>
        <v>109.29</v>
      </c>
      <c r="G324" s="13"/>
      <c r="H324" s="12">
        <v>16</v>
      </c>
      <c r="I324" s="12"/>
      <c r="J324" s="13" cm="1">
        <f t="array" ref="J324">palidzibas_d(H324,I324)</f>
        <v>0</v>
      </c>
      <c r="K324" s="13">
        <f>IFERROR(('Invoice Data'!$B324+'Invoice Data'!$D324-'Invoice Data'!$F324-'Invoice Data'!$J324+'Invoice Data'!$G324),"Kluda!")</f>
        <v>8905.7099999999991</v>
      </c>
      <c r="L324" s="13">
        <v>0</v>
      </c>
      <c r="M324" s="14" cm="1">
        <f t="array" ref="M324">IFERROR(jauna_bil(D324,F324,J324,B324,L324),"Kluda!")</f>
        <v>1619.71</v>
      </c>
    </row>
    <row r="325" spans="1:13" x14ac:dyDescent="0.25">
      <c r="A325" s="12">
        <v>33639</v>
      </c>
      <c r="B325" s="13">
        <v>0</v>
      </c>
      <c r="C325" s="12"/>
      <c r="D325" s="13">
        <v>4105</v>
      </c>
      <c r="E325" s="12">
        <v>1</v>
      </c>
      <c r="F325" s="13" cm="1">
        <f t="array" ref="F325">IFERROR(atlaide(E325,B325),"Kluda!")</f>
        <v>0</v>
      </c>
      <c r="G325" s="13"/>
      <c r="H325" s="12">
        <v>5</v>
      </c>
      <c r="I325" s="12"/>
      <c r="J325" s="13" cm="1">
        <f t="array" ref="J325">palidzibas_d(H325,I325)</f>
        <v>0</v>
      </c>
      <c r="K325" s="13">
        <f>IFERROR(('Invoice Data'!$B325+'Invoice Data'!$D325-'Invoice Data'!$F325-'Invoice Data'!$J325+'Invoice Data'!$G325),"Kluda!")</f>
        <v>4105</v>
      </c>
      <c r="L325" s="13">
        <v>0</v>
      </c>
      <c r="M325" s="14" cm="1">
        <f t="array" ref="M325">IFERROR(jauna_bil(D325,F325,J325,B325,L325),"Kluda!")</f>
        <v>4105</v>
      </c>
    </row>
    <row r="326" spans="1:13" x14ac:dyDescent="0.25">
      <c r="A326" s="12">
        <v>33648</v>
      </c>
      <c r="B326" s="13">
        <v>0</v>
      </c>
      <c r="C326" s="12"/>
      <c r="D326" s="13">
        <v>4867</v>
      </c>
      <c r="E326" s="12">
        <v>1</v>
      </c>
      <c r="F326" s="13" cm="1">
        <f t="array" ref="F326">IFERROR(atlaide(E326,B326),"Kluda!")</f>
        <v>0</v>
      </c>
      <c r="G326" s="13"/>
      <c r="H326" s="12">
        <v>0</v>
      </c>
      <c r="I326" s="12"/>
      <c r="J326" s="13" cm="1">
        <f t="array" ref="J326">palidzibas_d(H326,I326)</f>
        <v>0</v>
      </c>
      <c r="K326" s="13">
        <f>IFERROR(('Invoice Data'!$B326+'Invoice Data'!$D326-'Invoice Data'!$F326-'Invoice Data'!$J326+'Invoice Data'!$G326),"Kluda!")</f>
        <v>4867</v>
      </c>
      <c r="L326" s="13">
        <v>0</v>
      </c>
      <c r="M326" s="14" cm="1">
        <f t="array" ref="M326">IFERROR(jauna_bil(D326,F326,J326,B326,L326),"Kluda!")</f>
        <v>4867</v>
      </c>
    </row>
    <row r="327" spans="1:13" x14ac:dyDescent="0.25">
      <c r="A327" s="12">
        <v>33657</v>
      </c>
      <c r="B327" s="13">
        <v>0</v>
      </c>
      <c r="C327" s="12"/>
      <c r="D327" s="13">
        <v>9300</v>
      </c>
      <c r="E327" s="12">
        <v>2</v>
      </c>
      <c r="F327" s="13" cm="1">
        <f t="array" ref="F327">IFERROR(atlaide(E327,B327),"Kluda!")</f>
        <v>0</v>
      </c>
      <c r="G327" s="13"/>
      <c r="H327" s="12">
        <v>11</v>
      </c>
      <c r="I327" s="12"/>
      <c r="J327" s="13" cm="1">
        <f t="array" ref="J327">palidzibas_d(H327,I327)</f>
        <v>0</v>
      </c>
      <c r="K327" s="13">
        <f>IFERROR(('Invoice Data'!$B327+'Invoice Data'!$D327-'Invoice Data'!$F327-'Invoice Data'!$J327+'Invoice Data'!$G327),"Kluda!")</f>
        <v>9300</v>
      </c>
      <c r="L327" s="13">
        <v>0</v>
      </c>
      <c r="M327" s="14" cm="1">
        <f t="array" ref="M327">IFERROR(jauna_bil(D327,F327,J327,B327,L327),"Kluda!")</f>
        <v>9300</v>
      </c>
    </row>
    <row r="328" spans="1:13" x14ac:dyDescent="0.25">
      <c r="A328" s="12">
        <v>33666</v>
      </c>
      <c r="B328" s="13">
        <v>0</v>
      </c>
      <c r="C328" s="12"/>
      <c r="D328" s="13">
        <v>9450</v>
      </c>
      <c r="E328" s="12">
        <v>2</v>
      </c>
      <c r="F328" s="13" cm="1">
        <f t="array" ref="F328">IFERROR(atlaide(E328,B328),"Kluda!")</f>
        <v>0</v>
      </c>
      <c r="G328" s="13"/>
      <c r="H328" s="12">
        <v>2</v>
      </c>
      <c r="I328" s="12"/>
      <c r="J328" s="13" cm="1">
        <f t="array" ref="J328">palidzibas_d(H328,I328)</f>
        <v>0</v>
      </c>
      <c r="K328" s="13">
        <f>IFERROR(('Invoice Data'!$B328+'Invoice Data'!$D328-'Invoice Data'!$F328-'Invoice Data'!$J328+'Invoice Data'!$G328),"Kluda!")</f>
        <v>9450</v>
      </c>
      <c r="L328" s="13">
        <v>0</v>
      </c>
      <c r="M328" s="14" cm="1">
        <f t="array" ref="M328">IFERROR(jauna_bil(D328,F328,J328,B328,L328),"Kluda!")</f>
        <v>9450</v>
      </c>
    </row>
    <row r="329" spans="1:13" x14ac:dyDescent="0.25">
      <c r="A329" s="12">
        <v>33675</v>
      </c>
      <c r="B329" s="13">
        <v>0</v>
      </c>
      <c r="C329" s="12"/>
      <c r="D329" s="13">
        <v>3920</v>
      </c>
      <c r="E329" s="12">
        <v>1</v>
      </c>
      <c r="F329" s="13" cm="1">
        <f t="array" ref="F329">IFERROR(atlaide(E329,B329),"Kluda!")</f>
        <v>0</v>
      </c>
      <c r="G329" s="13"/>
      <c r="H329" s="12">
        <v>3</v>
      </c>
      <c r="I329" s="12"/>
      <c r="J329" s="13" cm="1">
        <f t="array" ref="J329">palidzibas_d(H329,I329)</f>
        <v>0</v>
      </c>
      <c r="K329" s="13">
        <f>IFERROR(('Invoice Data'!$B329+'Invoice Data'!$D329-'Invoice Data'!$F329-'Invoice Data'!$J329+'Invoice Data'!$G329),"Kluda!")</f>
        <v>3920</v>
      </c>
      <c r="L329" s="13">
        <v>0</v>
      </c>
      <c r="M329" s="14" cm="1">
        <f t="array" ref="M329">IFERROR(jauna_bil(D329,F329,J329,B329,L329),"Kluda!")</f>
        <v>3920</v>
      </c>
    </row>
    <row r="330" spans="1:13" x14ac:dyDescent="0.25">
      <c r="A330" s="12">
        <v>33684</v>
      </c>
      <c r="B330" s="13">
        <v>0</v>
      </c>
      <c r="C330" s="12"/>
      <c r="D330" s="13">
        <v>3669</v>
      </c>
      <c r="E330" s="12">
        <v>1</v>
      </c>
      <c r="F330" s="13" cm="1">
        <f t="array" ref="F330">IFERROR(atlaide(E330,B330),"Kluda!")</f>
        <v>0</v>
      </c>
      <c r="G330" s="13"/>
      <c r="H330" s="12">
        <v>1</v>
      </c>
      <c r="I330" s="12"/>
      <c r="J330" s="13" cm="1">
        <f t="array" ref="J330">palidzibas_d(H330,I330)</f>
        <v>0</v>
      </c>
      <c r="K330" s="13">
        <f>IFERROR(('Invoice Data'!$B330+'Invoice Data'!$D330-'Invoice Data'!$F330-'Invoice Data'!$J330+'Invoice Data'!$G330),"Kluda!")</f>
        <v>3669</v>
      </c>
      <c r="L330" s="13">
        <v>0</v>
      </c>
      <c r="M330" s="14" cm="1">
        <f t="array" ref="M330">IFERROR(jauna_bil(D330,F330,J330,B330,L330),"Kluda!")</f>
        <v>3669</v>
      </c>
    </row>
    <row r="331" spans="1:13" x14ac:dyDescent="0.25">
      <c r="A331" s="12">
        <v>33693</v>
      </c>
      <c r="B331" s="13">
        <v>0</v>
      </c>
      <c r="C331" s="12"/>
      <c r="D331" s="13">
        <v>4702</v>
      </c>
      <c r="E331" s="12">
        <v>1</v>
      </c>
      <c r="F331" s="13" cm="1">
        <f t="array" ref="F331">IFERROR(atlaide(E331,B331),"Kluda!")</f>
        <v>0</v>
      </c>
      <c r="G331" s="13"/>
      <c r="H331" s="12">
        <v>14</v>
      </c>
      <c r="I331" s="12"/>
      <c r="J331" s="13" cm="1">
        <f t="array" ref="J331">palidzibas_d(H331,I331)</f>
        <v>0</v>
      </c>
      <c r="K331" s="13">
        <f>IFERROR(('Invoice Data'!$B331+'Invoice Data'!$D331-'Invoice Data'!$F331-'Invoice Data'!$J331+'Invoice Data'!$G331),"Kluda!")</f>
        <v>4702</v>
      </c>
      <c r="L331" s="13">
        <v>0</v>
      </c>
      <c r="M331" s="14" cm="1">
        <f t="array" ref="M331">IFERROR(jauna_bil(D331,F331,J331,B331,L331),"Kluda!")</f>
        <v>4702</v>
      </c>
    </row>
    <row r="332" spans="1:13" x14ac:dyDescent="0.25">
      <c r="A332" s="12">
        <v>33700</v>
      </c>
      <c r="B332" s="13">
        <v>0</v>
      </c>
      <c r="C332" s="12"/>
      <c r="D332" s="13">
        <v>8455</v>
      </c>
      <c r="E332" s="12">
        <v>2</v>
      </c>
      <c r="F332" s="13" cm="1">
        <f t="array" ref="F332">IFERROR(atlaide(E332,B332),"Kluda!")</f>
        <v>0</v>
      </c>
      <c r="G332" s="13"/>
      <c r="H332" s="12">
        <v>4</v>
      </c>
      <c r="I332" s="12"/>
      <c r="J332" s="13" cm="1">
        <f t="array" ref="J332">palidzibas_d(H332,I332)</f>
        <v>0</v>
      </c>
      <c r="K332" s="13">
        <f>IFERROR(('Invoice Data'!$B332+'Invoice Data'!$D332-'Invoice Data'!$F332-'Invoice Data'!$J332+'Invoice Data'!$G332),"Kluda!")</f>
        <v>8455</v>
      </c>
      <c r="L332" s="13">
        <v>0</v>
      </c>
      <c r="M332" s="14" cm="1">
        <f t="array" ref="M332">IFERROR(jauna_bil(D332,F332,J332,B332,L332),"Kluda!")</f>
        <v>8455</v>
      </c>
    </row>
    <row r="333" spans="1:13" x14ac:dyDescent="0.25">
      <c r="A333" s="12">
        <v>33719</v>
      </c>
      <c r="B333" s="13">
        <v>0</v>
      </c>
      <c r="C333" s="12"/>
      <c r="D333" s="13">
        <v>3743</v>
      </c>
      <c r="E333" s="12">
        <v>1</v>
      </c>
      <c r="F333" s="13" cm="1">
        <f t="array" ref="F333">IFERROR(atlaide(E333,B333),"Kluda!")</f>
        <v>0</v>
      </c>
      <c r="G333" s="13"/>
      <c r="H333" s="12">
        <v>16</v>
      </c>
      <c r="I333" s="12"/>
      <c r="J333" s="13" cm="1">
        <f t="array" ref="J333">palidzibas_d(H333,I333)</f>
        <v>0</v>
      </c>
      <c r="K333" s="13">
        <f>IFERROR(('Invoice Data'!$B333+'Invoice Data'!$D333-'Invoice Data'!$F333-'Invoice Data'!$J333+'Invoice Data'!$G333),"Kluda!")</f>
        <v>3743</v>
      </c>
      <c r="L333" s="13">
        <v>0</v>
      </c>
      <c r="M333" s="14" cm="1">
        <f t="array" ref="M333">IFERROR(jauna_bil(D333,F333,J333,B333,L333),"Kluda!")</f>
        <v>3743</v>
      </c>
    </row>
    <row r="334" spans="1:13" x14ac:dyDescent="0.25">
      <c r="A334" s="12">
        <v>33728</v>
      </c>
      <c r="B334" s="13">
        <v>0</v>
      </c>
      <c r="C334" s="12"/>
      <c r="D334" s="13">
        <v>7860</v>
      </c>
      <c r="E334" s="12">
        <v>2</v>
      </c>
      <c r="F334" s="13" cm="1">
        <f t="array" ref="F334">IFERROR(atlaide(E334,B334),"Kluda!")</f>
        <v>0</v>
      </c>
      <c r="G334" s="13"/>
      <c r="H334" s="12">
        <v>6</v>
      </c>
      <c r="I334" s="12"/>
      <c r="J334" s="13" cm="1">
        <f t="array" ref="J334">palidzibas_d(H334,I334)</f>
        <v>0</v>
      </c>
      <c r="K334" s="13">
        <f>IFERROR(('Invoice Data'!$B334+'Invoice Data'!$D334-'Invoice Data'!$F334-'Invoice Data'!$J334+'Invoice Data'!$G334),"Kluda!")</f>
        <v>7860</v>
      </c>
      <c r="L334" s="13">
        <v>0</v>
      </c>
      <c r="M334" s="14" cm="1">
        <f t="array" ref="M334">IFERROR(jauna_bil(D334,F334,J334,B334,L334),"Kluda!")</f>
        <v>7860</v>
      </c>
    </row>
    <row r="335" spans="1:13" x14ac:dyDescent="0.25">
      <c r="A335" s="12">
        <v>33737</v>
      </c>
      <c r="B335" s="13">
        <v>0</v>
      </c>
      <c r="C335" s="12"/>
      <c r="D335" s="13">
        <v>10215</v>
      </c>
      <c r="E335" s="12">
        <v>2</v>
      </c>
      <c r="F335" s="13" cm="1">
        <f t="array" ref="F335">IFERROR(atlaide(E335,B335),"Kluda!")</f>
        <v>0</v>
      </c>
      <c r="G335" s="13"/>
      <c r="H335" s="12">
        <v>3</v>
      </c>
      <c r="I335" s="12"/>
      <c r="J335" s="13" cm="1">
        <f t="array" ref="J335">palidzibas_d(H335,I335)</f>
        <v>0</v>
      </c>
      <c r="K335" s="13">
        <f>IFERROR(('Invoice Data'!$B335+'Invoice Data'!$D335-'Invoice Data'!$F335-'Invoice Data'!$J335+'Invoice Data'!$G335),"Kluda!")</f>
        <v>10215</v>
      </c>
      <c r="L335" s="13">
        <v>0</v>
      </c>
      <c r="M335" s="14" cm="1">
        <f t="array" ref="M335">IFERROR(jauna_bil(D335,F335,J335,B335,L335),"Kluda!")</f>
        <v>10215</v>
      </c>
    </row>
    <row r="336" spans="1:13" x14ac:dyDescent="0.25">
      <c r="A336" s="12">
        <v>33746</v>
      </c>
      <c r="B336" s="13">
        <v>0</v>
      </c>
      <c r="C336" s="12"/>
      <c r="D336" s="13">
        <v>10234</v>
      </c>
      <c r="E336" s="12">
        <v>2</v>
      </c>
      <c r="F336" s="13" cm="1">
        <f t="array" ref="F336">IFERROR(atlaide(E336,B336),"Kluda!")</f>
        <v>0</v>
      </c>
      <c r="G336" s="13"/>
      <c r="H336" s="12">
        <v>16</v>
      </c>
      <c r="I336" s="12"/>
      <c r="J336" s="13" cm="1">
        <f t="array" ref="J336">palidzibas_d(H336,I336)</f>
        <v>0</v>
      </c>
      <c r="K336" s="13">
        <f>IFERROR(('Invoice Data'!$B336+'Invoice Data'!$D336-'Invoice Data'!$F336-'Invoice Data'!$J336+'Invoice Data'!$G336),"Kluda!")</f>
        <v>10234</v>
      </c>
      <c r="L336" s="13">
        <v>0</v>
      </c>
      <c r="M336" s="14" cm="1">
        <f t="array" ref="M336">IFERROR(jauna_bil(D336,F336,J336,B336,L336),"Kluda!")</f>
        <v>10234</v>
      </c>
    </row>
    <row r="337" spans="1:13" x14ac:dyDescent="0.25">
      <c r="A337" s="12">
        <v>33755</v>
      </c>
      <c r="B337" s="13">
        <v>0</v>
      </c>
      <c r="C337" s="12"/>
      <c r="D337" s="13">
        <v>7410</v>
      </c>
      <c r="E337" s="12">
        <v>2</v>
      </c>
      <c r="F337" s="13" cm="1">
        <f t="array" ref="F337">IFERROR(atlaide(E337,B337),"Kluda!")</f>
        <v>0</v>
      </c>
      <c r="G337" s="13"/>
      <c r="H337" s="12">
        <v>12</v>
      </c>
      <c r="I337" s="12"/>
      <c r="J337" s="13" cm="1">
        <f t="array" ref="J337">palidzibas_d(H337,I337)</f>
        <v>0</v>
      </c>
      <c r="K337" s="13">
        <f>IFERROR(('Invoice Data'!$B337+'Invoice Data'!$D337-'Invoice Data'!$F337-'Invoice Data'!$J337+'Invoice Data'!$G337),"Kluda!")</f>
        <v>7410</v>
      </c>
      <c r="L337" s="13">
        <v>0</v>
      </c>
      <c r="M337" s="14" cm="1">
        <f t="array" ref="M337">IFERROR(jauna_bil(D337,F337,J337,B337,L337),"Kluda!")</f>
        <v>7410</v>
      </c>
    </row>
    <row r="338" spans="1:13" x14ac:dyDescent="0.25">
      <c r="A338" s="12">
        <v>33764</v>
      </c>
      <c r="B338" s="13">
        <v>0</v>
      </c>
      <c r="C338" s="12"/>
      <c r="D338" s="13">
        <v>8385</v>
      </c>
      <c r="E338" s="12">
        <v>2</v>
      </c>
      <c r="F338" s="13" cm="1">
        <f t="array" ref="F338">IFERROR(atlaide(E338,B338),"Kluda!")</f>
        <v>0</v>
      </c>
      <c r="G338" s="13"/>
      <c r="H338" s="12">
        <v>6</v>
      </c>
      <c r="I338" s="12"/>
      <c r="J338" s="13" cm="1">
        <f t="array" ref="J338">palidzibas_d(H338,I338)</f>
        <v>0</v>
      </c>
      <c r="K338" s="13">
        <f>IFERROR(('Invoice Data'!$B338+'Invoice Data'!$D338-'Invoice Data'!$F338-'Invoice Data'!$J338+'Invoice Data'!$G338),"Kluda!")</f>
        <v>8385</v>
      </c>
      <c r="L338" s="13">
        <v>0</v>
      </c>
      <c r="M338" s="14" cm="1">
        <f t="array" ref="M338">IFERROR(jauna_bil(D338,F338,J338,B338,L338),"Kluda!")</f>
        <v>8385</v>
      </c>
    </row>
    <row r="339" spans="1:13" x14ac:dyDescent="0.25">
      <c r="A339" s="12">
        <v>33773</v>
      </c>
      <c r="B339" s="13">
        <v>0</v>
      </c>
      <c r="C339" s="12"/>
      <c r="D339" s="13">
        <v>4121</v>
      </c>
      <c r="E339" s="12">
        <v>1</v>
      </c>
      <c r="F339" s="13" cm="1">
        <f t="array" ref="F339">IFERROR(atlaide(E339,B339),"Kluda!")</f>
        <v>0</v>
      </c>
      <c r="G339" s="13"/>
      <c r="H339" s="12">
        <v>9</v>
      </c>
      <c r="I339" s="12"/>
      <c r="J339" s="13" cm="1">
        <f t="array" ref="J339">palidzibas_d(H339,I339)</f>
        <v>0</v>
      </c>
      <c r="K339" s="13">
        <f>IFERROR(('Invoice Data'!$B339+'Invoice Data'!$D339-'Invoice Data'!$F339-'Invoice Data'!$J339+'Invoice Data'!$G339),"Kluda!")</f>
        <v>4121</v>
      </c>
      <c r="L339" s="13">
        <v>0</v>
      </c>
      <c r="M339" s="14" cm="1">
        <f t="array" ref="M339">IFERROR(jauna_bil(D339,F339,J339,B339,L339),"Kluda!")</f>
        <v>4121</v>
      </c>
    </row>
    <row r="340" spans="1:13" x14ac:dyDescent="0.25">
      <c r="A340" s="12">
        <v>33782</v>
      </c>
      <c r="B340" s="13">
        <v>0</v>
      </c>
      <c r="C340" s="12"/>
      <c r="D340" s="13">
        <v>4357</v>
      </c>
      <c r="E340" s="12">
        <v>1</v>
      </c>
      <c r="F340" s="13" cm="1">
        <f t="array" ref="F340">IFERROR(atlaide(E340,B340),"Kluda!")</f>
        <v>0</v>
      </c>
      <c r="G340" s="13"/>
      <c r="H340" s="12">
        <v>4</v>
      </c>
      <c r="I340" s="12"/>
      <c r="J340" s="13" cm="1">
        <f t="array" ref="J340">palidzibas_d(H340,I340)</f>
        <v>0</v>
      </c>
      <c r="K340" s="13">
        <f>IFERROR(('Invoice Data'!$B340+'Invoice Data'!$D340-'Invoice Data'!$F340-'Invoice Data'!$J340+'Invoice Data'!$G340),"Kluda!")</f>
        <v>4357</v>
      </c>
      <c r="L340" s="13">
        <v>0</v>
      </c>
      <c r="M340" s="14" cm="1">
        <f t="array" ref="M340">IFERROR(jauna_bil(D340,F340,J340,B340,L340),"Kluda!")</f>
        <v>4357</v>
      </c>
    </row>
    <row r="341" spans="1:13" x14ac:dyDescent="0.25">
      <c r="A341" s="12">
        <v>33791</v>
      </c>
      <c r="B341" s="13">
        <v>0</v>
      </c>
      <c r="C341" s="12"/>
      <c r="D341" s="13">
        <v>3935</v>
      </c>
      <c r="E341" s="12">
        <v>1</v>
      </c>
      <c r="F341" s="13" cm="1">
        <f t="array" ref="F341">IFERROR(atlaide(E341,B341),"Kluda!")</f>
        <v>0</v>
      </c>
      <c r="G341" s="13"/>
      <c r="H341" s="12">
        <v>1</v>
      </c>
      <c r="I341" s="12"/>
      <c r="J341" s="13" cm="1">
        <f t="array" ref="J341">palidzibas_d(H341,I341)</f>
        <v>0</v>
      </c>
      <c r="K341" s="13">
        <f>IFERROR(('Invoice Data'!$B341+'Invoice Data'!$D341-'Invoice Data'!$F341-'Invoice Data'!$J341+'Invoice Data'!$G341),"Kluda!")</f>
        <v>3935</v>
      </c>
      <c r="L341" s="13">
        <v>0</v>
      </c>
      <c r="M341" s="14" cm="1">
        <f t="array" ref="M341">IFERROR(jauna_bil(D341,F341,J341,B341,L341),"Kluda!")</f>
        <v>3935</v>
      </c>
    </row>
    <row r="342" spans="1:13" x14ac:dyDescent="0.25">
      <c r="A342" s="12">
        <v>33808</v>
      </c>
      <c r="B342" s="13">
        <v>0</v>
      </c>
      <c r="C342" s="12"/>
      <c r="D342" s="13">
        <v>6808</v>
      </c>
      <c r="E342" s="12">
        <v>2</v>
      </c>
      <c r="F342" s="13" cm="1">
        <f t="array" ref="F342">IFERROR(atlaide(E342,B342),"Kluda!")</f>
        <v>0</v>
      </c>
      <c r="G342" s="13"/>
      <c r="H342" s="12">
        <v>8</v>
      </c>
      <c r="I342" s="12"/>
      <c r="J342" s="13" cm="1">
        <f t="array" ref="J342">palidzibas_d(H342,I342)</f>
        <v>0</v>
      </c>
      <c r="K342" s="13">
        <f>IFERROR(('Invoice Data'!$B342+'Invoice Data'!$D342-'Invoice Data'!$F342-'Invoice Data'!$J342+'Invoice Data'!$G342),"Kluda!")</f>
        <v>6808</v>
      </c>
      <c r="L342" s="13">
        <v>0</v>
      </c>
      <c r="M342" s="14" cm="1">
        <f t="array" ref="M342">IFERROR(jauna_bil(D342,F342,J342,B342,L342),"Kluda!")</f>
        <v>6808</v>
      </c>
    </row>
    <row r="343" spans="1:13" x14ac:dyDescent="0.25">
      <c r="A343" s="12">
        <v>33817</v>
      </c>
      <c r="B343" s="13">
        <v>0</v>
      </c>
      <c r="C343" s="12"/>
      <c r="D343" s="13">
        <v>10202</v>
      </c>
      <c r="E343" s="12">
        <v>2</v>
      </c>
      <c r="F343" s="13" cm="1">
        <f t="array" ref="F343">IFERROR(atlaide(E343,B343),"Kluda!")</f>
        <v>0</v>
      </c>
      <c r="G343" s="13"/>
      <c r="H343" s="12">
        <v>6</v>
      </c>
      <c r="I343" s="12"/>
      <c r="J343" s="13" cm="1">
        <f t="array" ref="J343">palidzibas_d(H343,I343)</f>
        <v>0</v>
      </c>
      <c r="K343" s="13">
        <f>IFERROR(('Invoice Data'!$B343+'Invoice Data'!$D343-'Invoice Data'!$F343-'Invoice Data'!$J343+'Invoice Data'!$G343),"Kluda!")</f>
        <v>10202</v>
      </c>
      <c r="L343" s="13">
        <v>0</v>
      </c>
      <c r="M343" s="14" cm="1">
        <f t="array" ref="M343">IFERROR(jauna_bil(D343,F343,J343,B343,L343),"Kluda!")</f>
        <v>10202</v>
      </c>
    </row>
    <row r="344" spans="1:13" x14ac:dyDescent="0.25">
      <c r="A344" s="12">
        <v>33826</v>
      </c>
      <c r="B344" s="13">
        <v>0</v>
      </c>
      <c r="C344" s="12"/>
      <c r="D344" s="13">
        <v>3738</v>
      </c>
      <c r="E344" s="12">
        <v>1</v>
      </c>
      <c r="F344" s="13" cm="1">
        <f t="array" ref="F344">IFERROR(atlaide(E344,B344),"Kluda!")</f>
        <v>0</v>
      </c>
      <c r="G344" s="13"/>
      <c r="H344" s="12">
        <v>12</v>
      </c>
      <c r="I344" s="12"/>
      <c r="J344" s="13" cm="1">
        <f t="array" ref="J344">palidzibas_d(H344,I344)</f>
        <v>0</v>
      </c>
      <c r="K344" s="13">
        <f>IFERROR(('Invoice Data'!$B344+'Invoice Data'!$D344-'Invoice Data'!$F344-'Invoice Data'!$J344+'Invoice Data'!$G344),"Kluda!")</f>
        <v>3738</v>
      </c>
      <c r="L344" s="13">
        <v>0</v>
      </c>
      <c r="M344" s="14" cm="1">
        <f t="array" ref="M344">IFERROR(jauna_bil(D344,F344,J344,B344,L344),"Kluda!")</f>
        <v>3738</v>
      </c>
    </row>
    <row r="345" spans="1:13" x14ac:dyDescent="0.25">
      <c r="A345" s="12">
        <v>33835</v>
      </c>
      <c r="B345" s="13">
        <v>0</v>
      </c>
      <c r="C345" s="12"/>
      <c r="D345" s="13">
        <v>3846</v>
      </c>
      <c r="E345" s="12">
        <v>1</v>
      </c>
      <c r="F345" s="13" cm="1">
        <f t="array" ref="F345">IFERROR(atlaide(E345,B345),"Kluda!")</f>
        <v>0</v>
      </c>
      <c r="G345" s="13"/>
      <c r="H345" s="12">
        <v>12</v>
      </c>
      <c r="I345" s="12"/>
      <c r="J345" s="13" cm="1">
        <f t="array" ref="J345">palidzibas_d(H345,I345)</f>
        <v>0</v>
      </c>
      <c r="K345" s="13">
        <f>IFERROR(('Invoice Data'!$B345+'Invoice Data'!$D345-'Invoice Data'!$F345-'Invoice Data'!$J345+'Invoice Data'!$G345),"Kluda!")</f>
        <v>3846</v>
      </c>
      <c r="L345" s="13">
        <v>0</v>
      </c>
      <c r="M345" s="14" cm="1">
        <f t="array" ref="M345">IFERROR(jauna_bil(D345,F345,J345,B345,L345),"Kluda!")</f>
        <v>3846</v>
      </c>
    </row>
    <row r="346" spans="1:13" x14ac:dyDescent="0.25">
      <c r="A346" s="12">
        <v>33844</v>
      </c>
      <c r="B346" s="13">
        <v>0</v>
      </c>
      <c r="C346" s="12"/>
      <c r="D346" s="13">
        <v>7938</v>
      </c>
      <c r="E346" s="12">
        <v>2</v>
      </c>
      <c r="F346" s="13" cm="1">
        <f t="array" ref="F346">IFERROR(atlaide(E346,B346),"Kluda!")</f>
        <v>0</v>
      </c>
      <c r="G346" s="13"/>
      <c r="H346" s="12">
        <v>14</v>
      </c>
      <c r="I346" s="12"/>
      <c r="J346" s="13" cm="1">
        <f t="array" ref="J346">palidzibas_d(H346,I346)</f>
        <v>0</v>
      </c>
      <c r="K346" s="13">
        <f>IFERROR(('Invoice Data'!$B346+'Invoice Data'!$D346-'Invoice Data'!$F346-'Invoice Data'!$J346+'Invoice Data'!$G346),"Kluda!")</f>
        <v>7938</v>
      </c>
      <c r="L346" s="13">
        <v>0</v>
      </c>
      <c r="M346" s="14" cm="1">
        <f t="array" ref="M346">IFERROR(jauna_bil(D346,F346,J346,B346,L346),"Kluda!")</f>
        <v>7938</v>
      </c>
    </row>
    <row r="347" spans="1:13" x14ac:dyDescent="0.25">
      <c r="A347" s="12">
        <v>33853</v>
      </c>
      <c r="B347" s="13">
        <v>0</v>
      </c>
      <c r="C347" s="12"/>
      <c r="D347" s="13">
        <v>3620</v>
      </c>
      <c r="E347" s="12">
        <v>1</v>
      </c>
      <c r="F347" s="13" cm="1">
        <f t="array" ref="F347">IFERROR(atlaide(E347,B347),"Kluda!")</f>
        <v>0</v>
      </c>
      <c r="G347" s="13"/>
      <c r="H347" s="12">
        <v>7</v>
      </c>
      <c r="I347" s="12"/>
      <c r="J347" s="13" cm="1">
        <f t="array" ref="J347">palidzibas_d(H347,I347)</f>
        <v>0</v>
      </c>
      <c r="K347" s="13">
        <f>IFERROR(('Invoice Data'!$B347+'Invoice Data'!$D347-'Invoice Data'!$F347-'Invoice Data'!$J347+'Invoice Data'!$G347),"Kluda!")</f>
        <v>3620</v>
      </c>
      <c r="L347" s="13">
        <v>0</v>
      </c>
      <c r="M347" s="14" cm="1">
        <f t="array" ref="M347">IFERROR(jauna_bil(D347,F347,J347,B347,L347),"Kluda!")</f>
        <v>3620</v>
      </c>
    </row>
    <row r="348" spans="1:13" x14ac:dyDescent="0.25">
      <c r="A348" s="12">
        <v>33862</v>
      </c>
      <c r="B348" s="13">
        <v>0</v>
      </c>
      <c r="C348" s="12"/>
      <c r="D348" s="13">
        <v>4582</v>
      </c>
      <c r="E348" s="12">
        <v>1</v>
      </c>
      <c r="F348" s="13" cm="1">
        <f t="array" ref="F348">IFERROR(atlaide(E348,B348),"Kluda!")</f>
        <v>0</v>
      </c>
      <c r="G348" s="13"/>
      <c r="H348" s="12">
        <v>15</v>
      </c>
      <c r="I348" s="12"/>
      <c r="J348" s="13" cm="1">
        <f t="array" ref="J348">palidzibas_d(H348,I348)</f>
        <v>0</v>
      </c>
      <c r="K348" s="13">
        <f>IFERROR(('Invoice Data'!$B348+'Invoice Data'!$D348-'Invoice Data'!$F348-'Invoice Data'!$J348+'Invoice Data'!$G348),"Kluda!")</f>
        <v>4582</v>
      </c>
      <c r="L348" s="13">
        <v>0</v>
      </c>
      <c r="M348" s="14" cm="1">
        <f t="array" ref="M348">IFERROR(jauna_bil(D348,F348,J348,B348,L348),"Kluda!")</f>
        <v>4582</v>
      </c>
    </row>
    <row r="349" spans="1:13" x14ac:dyDescent="0.25">
      <c r="A349" s="12">
        <v>33871</v>
      </c>
      <c r="B349" s="13">
        <v>0</v>
      </c>
      <c r="C349" s="12"/>
      <c r="D349" s="13">
        <v>9851</v>
      </c>
      <c r="E349" s="12">
        <v>2</v>
      </c>
      <c r="F349" s="13" cm="1">
        <f t="array" ref="F349">IFERROR(atlaide(E349,B349),"Kluda!")</f>
        <v>0</v>
      </c>
      <c r="G349" s="13"/>
      <c r="H349" s="12">
        <v>6</v>
      </c>
      <c r="I349" s="12"/>
      <c r="J349" s="13" cm="1">
        <f t="array" ref="J349">palidzibas_d(H349,I349)</f>
        <v>0</v>
      </c>
      <c r="K349" s="13">
        <f>IFERROR(('Invoice Data'!$B349+'Invoice Data'!$D349-'Invoice Data'!$F349-'Invoice Data'!$J349+'Invoice Data'!$G349),"Kluda!")</f>
        <v>9851</v>
      </c>
      <c r="L349" s="13">
        <v>0</v>
      </c>
      <c r="M349" s="14" cm="1">
        <f t="array" ref="M349">IFERROR(jauna_bil(D349,F349,J349,B349,L349),"Kluda!")</f>
        <v>9851</v>
      </c>
    </row>
    <row r="350" spans="1:13" x14ac:dyDescent="0.25">
      <c r="A350" s="12">
        <v>33880</v>
      </c>
      <c r="B350" s="13">
        <v>0</v>
      </c>
      <c r="C350" s="12"/>
      <c r="D350" s="13">
        <v>4969</v>
      </c>
      <c r="E350" s="12">
        <v>1</v>
      </c>
      <c r="F350" s="13" cm="1">
        <f t="array" ref="F350">IFERROR(atlaide(E350,B350),"Kluda!")</f>
        <v>0</v>
      </c>
      <c r="G350" s="13"/>
      <c r="H350" s="12">
        <v>13</v>
      </c>
      <c r="I350" s="12"/>
      <c r="J350" s="13" cm="1">
        <f t="array" ref="J350">palidzibas_d(H350,I350)</f>
        <v>0</v>
      </c>
      <c r="K350" s="13">
        <f>IFERROR(('Invoice Data'!$B350+'Invoice Data'!$D350-'Invoice Data'!$F350-'Invoice Data'!$J350+'Invoice Data'!$G350),"Kluda!")</f>
        <v>4969</v>
      </c>
      <c r="L350" s="13">
        <v>0</v>
      </c>
      <c r="M350" s="14" cm="1">
        <f t="array" ref="M350">IFERROR(jauna_bil(D350,F350,J350,B350,L350),"Kluda!")</f>
        <v>4969</v>
      </c>
    </row>
    <row r="351" spans="1:13" x14ac:dyDescent="0.25">
      <c r="A351" s="12">
        <v>33899</v>
      </c>
      <c r="B351" s="13">
        <v>0</v>
      </c>
      <c r="C351" s="12"/>
      <c r="D351" s="13">
        <v>9337</v>
      </c>
      <c r="E351" s="12">
        <v>2</v>
      </c>
      <c r="F351" s="13" cm="1">
        <f t="array" ref="F351">IFERROR(atlaide(E351,B351),"Kluda!")</f>
        <v>0</v>
      </c>
      <c r="G351" s="13"/>
      <c r="H351" s="12">
        <v>0</v>
      </c>
      <c r="I351" s="12"/>
      <c r="J351" s="13" cm="1">
        <f t="array" ref="J351">palidzibas_d(H351,I351)</f>
        <v>0</v>
      </c>
      <c r="K351" s="13">
        <f>IFERROR(('Invoice Data'!$B351+'Invoice Data'!$D351-'Invoice Data'!$F351-'Invoice Data'!$J351+'Invoice Data'!$G351),"Kluda!")</f>
        <v>9337</v>
      </c>
      <c r="L351" s="13">
        <v>0</v>
      </c>
      <c r="M351" s="14" cm="1">
        <f t="array" ref="M351">IFERROR(jauna_bil(D351,F351,J351,B351,L351),"Kluda!")</f>
        <v>9337</v>
      </c>
    </row>
    <row r="352" spans="1:13" x14ac:dyDescent="0.25">
      <c r="A352" s="12">
        <v>33906</v>
      </c>
      <c r="B352" s="13">
        <v>0</v>
      </c>
      <c r="C352" s="12"/>
      <c r="D352" s="13">
        <v>4655</v>
      </c>
      <c r="E352" s="12">
        <v>1</v>
      </c>
      <c r="F352" s="13" cm="1">
        <f t="array" ref="F352">IFERROR(atlaide(E352,B352),"Kluda!")</f>
        <v>0</v>
      </c>
      <c r="G352" s="13"/>
      <c r="H352" s="12">
        <v>1</v>
      </c>
      <c r="I352" s="12"/>
      <c r="J352" s="13" cm="1">
        <f t="array" ref="J352">palidzibas_d(H352,I352)</f>
        <v>0</v>
      </c>
      <c r="K352" s="13">
        <f>IFERROR(('Invoice Data'!$B352+'Invoice Data'!$D352-'Invoice Data'!$F352-'Invoice Data'!$J352+'Invoice Data'!$G352),"Kluda!")</f>
        <v>4655</v>
      </c>
      <c r="L352" s="13">
        <v>0</v>
      </c>
      <c r="M352" s="14" cm="1">
        <f t="array" ref="M352">IFERROR(jauna_bil(D352,F352,J352,B352,L352),"Kluda!")</f>
        <v>4655</v>
      </c>
    </row>
    <row r="353" spans="1:13" x14ac:dyDescent="0.25">
      <c r="A353" s="12">
        <v>33915</v>
      </c>
      <c r="B353" s="13">
        <v>0</v>
      </c>
      <c r="C353" s="12"/>
      <c r="D353" s="13">
        <v>6575</v>
      </c>
      <c r="E353" s="12">
        <v>2</v>
      </c>
      <c r="F353" s="13" cm="1">
        <f t="array" ref="F353">IFERROR(atlaide(E353,B353),"Kluda!")</f>
        <v>0</v>
      </c>
      <c r="G353" s="13"/>
      <c r="H353" s="12">
        <v>1</v>
      </c>
      <c r="I353" s="12"/>
      <c r="J353" s="13" cm="1">
        <f t="array" ref="J353">palidzibas_d(H353,I353)</f>
        <v>0</v>
      </c>
      <c r="K353" s="13">
        <f>IFERROR(('Invoice Data'!$B353+'Invoice Data'!$D353-'Invoice Data'!$F353-'Invoice Data'!$J353+'Invoice Data'!$G353),"Kluda!")</f>
        <v>6575</v>
      </c>
      <c r="L353" s="13">
        <v>0</v>
      </c>
      <c r="M353" s="14" cm="1">
        <f t="array" ref="M353">IFERROR(jauna_bil(D353,F353,J353,B353,L353),"Kluda!")</f>
        <v>6575</v>
      </c>
    </row>
    <row r="354" spans="1:13" x14ac:dyDescent="0.25">
      <c r="A354" s="12">
        <v>33924</v>
      </c>
      <c r="B354" s="13">
        <v>0</v>
      </c>
      <c r="C354" s="12"/>
      <c r="D354" s="13">
        <v>4067</v>
      </c>
      <c r="E354" s="12">
        <v>1</v>
      </c>
      <c r="F354" s="13" cm="1">
        <f t="array" ref="F354">IFERROR(atlaide(E354,B354),"Kluda!")</f>
        <v>0</v>
      </c>
      <c r="G354" s="13"/>
      <c r="H354" s="12">
        <v>2</v>
      </c>
      <c r="I354" s="12"/>
      <c r="J354" s="13" cm="1">
        <f t="array" ref="J354">palidzibas_d(H354,I354)</f>
        <v>0</v>
      </c>
      <c r="K354" s="13">
        <f>IFERROR(('Invoice Data'!$B354+'Invoice Data'!$D354-'Invoice Data'!$F354-'Invoice Data'!$J354+'Invoice Data'!$G354),"Kluda!")</f>
        <v>4067</v>
      </c>
      <c r="L354" s="13">
        <v>0</v>
      </c>
      <c r="M354" s="14" cm="1">
        <f t="array" ref="M354">IFERROR(jauna_bil(D354,F354,J354,B354,L354),"Kluda!")</f>
        <v>4067</v>
      </c>
    </row>
    <row r="355" spans="1:13" x14ac:dyDescent="0.25">
      <c r="A355" s="12">
        <v>33933</v>
      </c>
      <c r="B355" s="13">
        <v>0</v>
      </c>
      <c r="C355" s="12"/>
      <c r="D355" s="13">
        <v>5191</v>
      </c>
      <c r="E355" s="12">
        <v>1</v>
      </c>
      <c r="F355" s="13" cm="1">
        <f t="array" ref="F355">IFERROR(atlaide(E355,B355),"Kluda!")</f>
        <v>0</v>
      </c>
      <c r="G355" s="13"/>
      <c r="H355" s="12">
        <v>3</v>
      </c>
      <c r="I355" s="12"/>
      <c r="J355" s="13" cm="1">
        <f t="array" ref="J355">palidzibas_d(H355,I355)</f>
        <v>0</v>
      </c>
      <c r="K355" s="13">
        <f>IFERROR(('Invoice Data'!$B355+'Invoice Data'!$D355-'Invoice Data'!$F355-'Invoice Data'!$J355+'Invoice Data'!$G355),"Kluda!")</f>
        <v>5191</v>
      </c>
      <c r="L355" s="13">
        <v>0</v>
      </c>
      <c r="M355" s="14" cm="1">
        <f t="array" ref="M355">IFERROR(jauna_bil(D355,F355,J355,B355,L355),"Kluda!")</f>
        <v>5191</v>
      </c>
    </row>
    <row r="356" spans="1:13" x14ac:dyDescent="0.25">
      <c r="A356" s="12">
        <v>33942</v>
      </c>
      <c r="B356" s="13">
        <v>0</v>
      </c>
      <c r="C356" s="12"/>
      <c r="D356" s="13">
        <v>4362</v>
      </c>
      <c r="E356" s="12">
        <v>1</v>
      </c>
      <c r="F356" s="13" cm="1">
        <f t="array" ref="F356">IFERROR(atlaide(E356,B356),"Kluda!")</f>
        <v>0</v>
      </c>
      <c r="G356" s="13"/>
      <c r="H356" s="12">
        <v>6</v>
      </c>
      <c r="I356" s="12"/>
      <c r="J356" s="13" cm="1">
        <f t="array" ref="J356">palidzibas_d(H356,I356)</f>
        <v>0</v>
      </c>
      <c r="K356" s="13">
        <f>IFERROR(('Invoice Data'!$B356+'Invoice Data'!$D356-'Invoice Data'!$F356-'Invoice Data'!$J356+'Invoice Data'!$G356),"Kluda!")</f>
        <v>4362</v>
      </c>
      <c r="L356" s="13">
        <v>0</v>
      </c>
      <c r="M356" s="14" cm="1">
        <f t="array" ref="M356">IFERROR(jauna_bil(D356,F356,J356,B356,L356),"Kluda!")</f>
        <v>4362</v>
      </c>
    </row>
    <row r="357" spans="1:13" x14ac:dyDescent="0.25">
      <c r="A357" s="12">
        <v>33951</v>
      </c>
      <c r="B357" s="13">
        <v>0</v>
      </c>
      <c r="C357" s="12"/>
      <c r="D357" s="13">
        <v>10100</v>
      </c>
      <c r="E357" s="12">
        <v>2</v>
      </c>
      <c r="F357" s="13" cm="1">
        <f t="array" ref="F357">IFERROR(atlaide(E357,B357),"Kluda!")</f>
        <v>0</v>
      </c>
      <c r="G357" s="13"/>
      <c r="H357" s="12">
        <v>12</v>
      </c>
      <c r="I357" s="12"/>
      <c r="J357" s="13" cm="1">
        <f t="array" ref="J357">palidzibas_d(H357,I357)</f>
        <v>0</v>
      </c>
      <c r="K357" s="13">
        <f>IFERROR(('Invoice Data'!$B357+'Invoice Data'!$D357-'Invoice Data'!$F357-'Invoice Data'!$J357+'Invoice Data'!$G357),"Kluda!")</f>
        <v>10100</v>
      </c>
      <c r="L357" s="13">
        <v>0</v>
      </c>
      <c r="M357" s="14" cm="1">
        <f t="array" ref="M357">IFERROR(jauna_bil(D357,F357,J357,B357,L357),"Kluda!")</f>
        <v>10100</v>
      </c>
    </row>
    <row r="358" spans="1:13" x14ac:dyDescent="0.25">
      <c r="A358" s="12">
        <v>33960</v>
      </c>
      <c r="B358" s="13">
        <v>0</v>
      </c>
      <c r="C358" s="12"/>
      <c r="D358" s="13">
        <v>6766</v>
      </c>
      <c r="E358" s="12">
        <v>2</v>
      </c>
      <c r="F358" s="13" cm="1">
        <f t="array" ref="F358">IFERROR(atlaide(E358,B358),"Kluda!")</f>
        <v>0</v>
      </c>
      <c r="G358" s="13"/>
      <c r="H358" s="12">
        <v>4</v>
      </c>
      <c r="I358" s="12"/>
      <c r="J358" s="13" cm="1">
        <f t="array" ref="J358">palidzibas_d(H358,I358)</f>
        <v>0</v>
      </c>
      <c r="K358" s="13">
        <f>IFERROR(('Invoice Data'!$B358+'Invoice Data'!$D358-'Invoice Data'!$F358-'Invoice Data'!$J358+'Invoice Data'!$G358),"Kluda!")</f>
        <v>6766</v>
      </c>
      <c r="L358" s="13">
        <v>0</v>
      </c>
      <c r="M358" s="14" cm="1">
        <f t="array" ref="M358">IFERROR(jauna_bil(D358,F358,J358,B358,L358),"Kluda!")</f>
        <v>6766</v>
      </c>
    </row>
    <row r="359" spans="1:13" x14ac:dyDescent="0.25">
      <c r="A359" s="12">
        <v>33979</v>
      </c>
      <c r="B359" s="13">
        <v>0</v>
      </c>
      <c r="C359" s="12"/>
      <c r="D359" s="13">
        <v>4848</v>
      </c>
      <c r="E359" s="12">
        <v>1</v>
      </c>
      <c r="F359" s="13" cm="1">
        <f t="array" ref="F359">IFERROR(atlaide(E359,B359),"Kluda!")</f>
        <v>0</v>
      </c>
      <c r="G359" s="13"/>
      <c r="H359" s="12">
        <v>15</v>
      </c>
      <c r="I359" s="12"/>
      <c r="J359" s="13" cm="1">
        <f t="array" ref="J359">palidzibas_d(H359,I359)</f>
        <v>0</v>
      </c>
      <c r="K359" s="13">
        <f>IFERROR(('Invoice Data'!$B359+'Invoice Data'!$D359-'Invoice Data'!$F359-'Invoice Data'!$J359+'Invoice Data'!$G359),"Kluda!")</f>
        <v>4848</v>
      </c>
      <c r="L359" s="13">
        <v>0</v>
      </c>
      <c r="M359" s="14" cm="1">
        <f t="array" ref="M359">IFERROR(jauna_bil(D359,F359,J359,B359,L359),"Kluda!")</f>
        <v>4848</v>
      </c>
    </row>
    <row r="360" spans="1:13" x14ac:dyDescent="0.25">
      <c r="A360" s="12">
        <v>33988</v>
      </c>
      <c r="B360" s="13">
        <v>0</v>
      </c>
      <c r="C360" s="12"/>
      <c r="D360" s="13">
        <v>5082</v>
      </c>
      <c r="E360" s="12">
        <v>1</v>
      </c>
      <c r="F360" s="13" cm="1">
        <f t="array" ref="F360">IFERROR(atlaide(E360,B360),"Kluda!")</f>
        <v>0</v>
      </c>
      <c r="G360" s="13"/>
      <c r="H360" s="12">
        <v>6</v>
      </c>
      <c r="I360" s="12"/>
      <c r="J360" s="13" cm="1">
        <f t="array" ref="J360">palidzibas_d(H360,I360)</f>
        <v>0</v>
      </c>
      <c r="K360" s="13">
        <f>IFERROR(('Invoice Data'!$B360+'Invoice Data'!$D360-'Invoice Data'!$F360-'Invoice Data'!$J360+'Invoice Data'!$G360),"Kluda!")</f>
        <v>5082</v>
      </c>
      <c r="L360" s="13">
        <v>0</v>
      </c>
      <c r="M360" s="14" cm="1">
        <f t="array" ref="M360">IFERROR(jauna_bil(D360,F360,J360,B360,L360),"Kluda!")</f>
        <v>5082</v>
      </c>
    </row>
    <row r="361" spans="1:13" x14ac:dyDescent="0.25">
      <c r="A361" s="12">
        <v>33997</v>
      </c>
      <c r="B361" s="13">
        <v>0</v>
      </c>
      <c r="C361" s="12"/>
      <c r="D361" s="13">
        <v>4384</v>
      </c>
      <c r="E361" s="12">
        <v>1</v>
      </c>
      <c r="F361" s="13" cm="1">
        <f t="array" ref="F361">IFERROR(atlaide(E361,B361),"Kluda!")</f>
        <v>0</v>
      </c>
      <c r="G361" s="13"/>
      <c r="H361" s="12">
        <v>9</v>
      </c>
      <c r="I361" s="12"/>
      <c r="J361" s="13" cm="1">
        <f t="array" ref="J361">palidzibas_d(H361,I361)</f>
        <v>0</v>
      </c>
      <c r="K361" s="13">
        <f>IFERROR(('Invoice Data'!$B361+'Invoice Data'!$D361-'Invoice Data'!$F361-'Invoice Data'!$J361+'Invoice Data'!$G361),"Kluda!")</f>
        <v>4384</v>
      </c>
      <c r="L361" s="13">
        <v>0</v>
      </c>
      <c r="M361" s="14" cm="1">
        <f t="array" ref="M361">IFERROR(jauna_bil(D361,F361,J361,B361,L361),"Kluda!")</f>
        <v>4384</v>
      </c>
    </row>
    <row r="362" spans="1:13" x14ac:dyDescent="0.25">
      <c r="A362" s="12">
        <v>34004</v>
      </c>
      <c r="B362" s="13">
        <v>0</v>
      </c>
      <c r="C362" s="12"/>
      <c r="D362" s="13">
        <v>4789</v>
      </c>
      <c r="E362" s="12">
        <v>1</v>
      </c>
      <c r="F362" s="13" cm="1">
        <f t="array" ref="F362">IFERROR(atlaide(E362,B362),"Kluda!")</f>
        <v>0</v>
      </c>
      <c r="G362" s="13"/>
      <c r="H362" s="12">
        <v>16</v>
      </c>
      <c r="I362" s="12"/>
      <c r="J362" s="13" cm="1">
        <f t="array" ref="J362">palidzibas_d(H362,I362)</f>
        <v>0</v>
      </c>
      <c r="K362" s="13">
        <f>IFERROR(('Invoice Data'!$B362+'Invoice Data'!$D362-'Invoice Data'!$F362-'Invoice Data'!$J362+'Invoice Data'!$G362),"Kluda!")</f>
        <v>4789</v>
      </c>
      <c r="L362" s="13">
        <v>0</v>
      </c>
      <c r="M362" s="14" cm="1">
        <f t="array" ref="M362">IFERROR(jauna_bil(D362,F362,J362,B362,L362),"Kluda!")</f>
        <v>4789</v>
      </c>
    </row>
    <row r="363" spans="1:13" x14ac:dyDescent="0.25">
      <c r="A363" s="12">
        <v>34013</v>
      </c>
      <c r="B363" s="13">
        <v>0</v>
      </c>
      <c r="C363" s="12"/>
      <c r="D363" s="13">
        <v>9782</v>
      </c>
      <c r="E363" s="12">
        <v>2</v>
      </c>
      <c r="F363" s="13" cm="1">
        <f t="array" ref="F363">IFERROR(atlaide(E363,B363),"Kluda!")</f>
        <v>0</v>
      </c>
      <c r="G363" s="13"/>
      <c r="H363" s="12">
        <v>7</v>
      </c>
      <c r="I363" s="12"/>
      <c r="J363" s="13" cm="1">
        <f t="array" ref="J363">palidzibas_d(H363,I363)</f>
        <v>0</v>
      </c>
      <c r="K363" s="13">
        <f>IFERROR(('Invoice Data'!$B363+'Invoice Data'!$D363-'Invoice Data'!$F363-'Invoice Data'!$J363+'Invoice Data'!$G363),"Kluda!")</f>
        <v>9782</v>
      </c>
      <c r="L363" s="13">
        <v>0</v>
      </c>
      <c r="M363" s="14" cm="1">
        <f t="array" ref="M363">IFERROR(jauna_bil(D363,F363,J363,B363,L363),"Kluda!")</f>
        <v>9782</v>
      </c>
    </row>
    <row r="364" spans="1:13" x14ac:dyDescent="0.25">
      <c r="A364" s="12">
        <v>34022</v>
      </c>
      <c r="B364" s="13">
        <v>0</v>
      </c>
      <c r="C364" s="12"/>
      <c r="D364" s="13">
        <v>9714</v>
      </c>
      <c r="E364" s="12">
        <v>2</v>
      </c>
      <c r="F364" s="13" cm="1">
        <f t="array" ref="F364">IFERROR(atlaide(E364,B364),"Kluda!")</f>
        <v>0</v>
      </c>
      <c r="G364" s="13"/>
      <c r="H364" s="12">
        <v>9</v>
      </c>
      <c r="I364" s="12"/>
      <c r="J364" s="13" cm="1">
        <f t="array" ref="J364">palidzibas_d(H364,I364)</f>
        <v>0</v>
      </c>
      <c r="K364" s="13">
        <f>IFERROR(('Invoice Data'!$B364+'Invoice Data'!$D364-'Invoice Data'!$F364-'Invoice Data'!$J364+'Invoice Data'!$G364),"Kluda!")</f>
        <v>9714</v>
      </c>
      <c r="L364" s="13">
        <v>0</v>
      </c>
      <c r="M364" s="14" cm="1">
        <f t="array" ref="M364">IFERROR(jauna_bil(D364,F364,J364,B364,L364),"Kluda!")</f>
        <v>9714</v>
      </c>
    </row>
    <row r="365" spans="1:13" x14ac:dyDescent="0.25">
      <c r="A365" s="12">
        <v>34031</v>
      </c>
      <c r="B365" s="13">
        <v>0</v>
      </c>
      <c r="C365" s="12"/>
      <c r="D365" s="13">
        <v>8126</v>
      </c>
      <c r="E365" s="12">
        <v>2</v>
      </c>
      <c r="F365" s="13" cm="1">
        <f t="array" ref="F365">IFERROR(atlaide(E365,B365),"Kluda!")</f>
        <v>0</v>
      </c>
      <c r="G365" s="13"/>
      <c r="H365" s="12">
        <v>12</v>
      </c>
      <c r="I365" s="12"/>
      <c r="J365" s="13" cm="1">
        <f t="array" ref="J365">palidzibas_d(H365,I365)</f>
        <v>0</v>
      </c>
      <c r="K365" s="13">
        <f>IFERROR(('Invoice Data'!$B365+'Invoice Data'!$D365-'Invoice Data'!$F365-'Invoice Data'!$J365+'Invoice Data'!$G365),"Kluda!")</f>
        <v>8126</v>
      </c>
      <c r="L365" s="13">
        <v>0</v>
      </c>
      <c r="M365" s="14" cm="1">
        <f t="array" ref="M365">IFERROR(jauna_bil(D365,F365,J365,B365,L365),"Kluda!")</f>
        <v>8126</v>
      </c>
    </row>
    <row r="366" spans="1:13" x14ac:dyDescent="0.25">
      <c r="A366" s="12">
        <v>34040</v>
      </c>
      <c r="B366" s="13">
        <v>0</v>
      </c>
      <c r="C366" s="12"/>
      <c r="D366" s="13">
        <v>9231</v>
      </c>
      <c r="E366" s="12">
        <v>2</v>
      </c>
      <c r="F366" s="13" cm="1">
        <f t="array" ref="F366">IFERROR(atlaide(E366,B366),"Kluda!")</f>
        <v>0</v>
      </c>
      <c r="G366" s="13"/>
      <c r="H366" s="12">
        <v>4</v>
      </c>
      <c r="I366" s="12"/>
      <c r="J366" s="13" cm="1">
        <f t="array" ref="J366">palidzibas_d(H366,I366)</f>
        <v>0</v>
      </c>
      <c r="K366" s="13">
        <f>IFERROR(('Invoice Data'!$B366+'Invoice Data'!$D366-'Invoice Data'!$F366-'Invoice Data'!$J366+'Invoice Data'!$G366),"Kluda!")</f>
        <v>9231</v>
      </c>
      <c r="L366" s="13">
        <v>0</v>
      </c>
      <c r="M366" s="14" cm="1">
        <f t="array" ref="M366">IFERROR(jauna_bil(D366,F366,J366,B366,L366),"Kluda!")</f>
        <v>9231</v>
      </c>
    </row>
    <row r="367" spans="1:13" x14ac:dyDescent="0.25">
      <c r="A367" s="12">
        <v>34059</v>
      </c>
      <c r="B367" s="13">
        <v>0</v>
      </c>
      <c r="C367" s="12"/>
      <c r="D367" s="13">
        <v>9350</v>
      </c>
      <c r="E367" s="12">
        <v>2</v>
      </c>
      <c r="F367" s="13" cm="1">
        <f t="array" ref="F367">IFERROR(atlaide(E367,B367),"Kluda!")</f>
        <v>0</v>
      </c>
      <c r="G367" s="13"/>
      <c r="H367" s="12">
        <v>13</v>
      </c>
      <c r="I367" s="12"/>
      <c r="J367" s="13" cm="1">
        <f t="array" ref="J367">palidzibas_d(H367,I367)</f>
        <v>0</v>
      </c>
      <c r="K367" s="13">
        <f>IFERROR(('Invoice Data'!$B367+'Invoice Data'!$D367-'Invoice Data'!$F367-'Invoice Data'!$J367+'Invoice Data'!$G367),"Kluda!")</f>
        <v>9350</v>
      </c>
      <c r="L367" s="13">
        <v>0</v>
      </c>
      <c r="M367" s="14" cm="1">
        <f t="array" ref="M367">IFERROR(jauna_bil(D367,F367,J367,B367,L367),"Kluda!")</f>
        <v>9350</v>
      </c>
    </row>
    <row r="368" spans="1:13" x14ac:dyDescent="0.25">
      <c r="A368" s="12">
        <v>34068</v>
      </c>
      <c r="B368" s="13">
        <v>0</v>
      </c>
      <c r="C368" s="12"/>
      <c r="D368" s="13">
        <v>6617</v>
      </c>
      <c r="E368" s="12">
        <v>2</v>
      </c>
      <c r="F368" s="13" cm="1">
        <f t="array" ref="F368">IFERROR(atlaide(E368,B368),"Kluda!")</f>
        <v>0</v>
      </c>
      <c r="G368" s="13"/>
      <c r="H368" s="12">
        <v>9</v>
      </c>
      <c r="I368" s="12"/>
      <c r="J368" s="13" cm="1">
        <f t="array" ref="J368">palidzibas_d(H368,I368)</f>
        <v>0</v>
      </c>
      <c r="K368" s="13">
        <f>IFERROR(('Invoice Data'!$B368+'Invoice Data'!$D368-'Invoice Data'!$F368-'Invoice Data'!$J368+'Invoice Data'!$G368),"Kluda!")</f>
        <v>6617</v>
      </c>
      <c r="L368" s="13">
        <v>0</v>
      </c>
      <c r="M368" s="14" cm="1">
        <f t="array" ref="M368">IFERROR(jauna_bil(D368,F368,J368,B368,L368),"Kluda!")</f>
        <v>6617</v>
      </c>
    </row>
    <row r="369" spans="1:13" x14ac:dyDescent="0.25">
      <c r="A369" s="12">
        <v>34077</v>
      </c>
      <c r="B369" s="13">
        <v>0</v>
      </c>
      <c r="C369" s="12"/>
      <c r="D369" s="13">
        <v>3868</v>
      </c>
      <c r="E369" s="12">
        <v>1</v>
      </c>
      <c r="F369" s="13" cm="1">
        <f t="array" ref="F369">IFERROR(atlaide(E369,B369),"Kluda!")</f>
        <v>0</v>
      </c>
      <c r="G369" s="13"/>
      <c r="H369" s="12">
        <v>5</v>
      </c>
      <c r="I369" s="12"/>
      <c r="J369" s="13" cm="1">
        <f t="array" ref="J369">palidzibas_d(H369,I369)</f>
        <v>0</v>
      </c>
      <c r="K369" s="13">
        <f>IFERROR(('Invoice Data'!$B369+'Invoice Data'!$D369-'Invoice Data'!$F369-'Invoice Data'!$J369+'Invoice Data'!$G369),"Kluda!")</f>
        <v>3868</v>
      </c>
      <c r="L369" s="13">
        <v>0</v>
      </c>
      <c r="M369" s="14" cm="1">
        <f t="array" ref="M369">IFERROR(jauna_bil(D369,F369,J369,B369,L369),"Kluda!")</f>
        <v>3868</v>
      </c>
    </row>
    <row r="370" spans="1:13" x14ac:dyDescent="0.25">
      <c r="A370" s="12">
        <v>34086</v>
      </c>
      <c r="B370" s="13">
        <v>0</v>
      </c>
      <c r="C370" s="12"/>
      <c r="D370" s="13">
        <v>5051</v>
      </c>
      <c r="E370" s="12">
        <v>1</v>
      </c>
      <c r="F370" s="13" cm="1">
        <f t="array" ref="F370">IFERROR(atlaide(E370,B370),"Kluda!")</f>
        <v>0</v>
      </c>
      <c r="G370" s="13"/>
      <c r="H370" s="12">
        <v>7</v>
      </c>
      <c r="I370" s="12"/>
      <c r="J370" s="13" cm="1">
        <f t="array" ref="J370">palidzibas_d(H370,I370)</f>
        <v>0</v>
      </c>
      <c r="K370" s="13">
        <f>IFERROR(('Invoice Data'!$B370+'Invoice Data'!$D370-'Invoice Data'!$F370-'Invoice Data'!$J370+'Invoice Data'!$G370),"Kluda!")</f>
        <v>5051</v>
      </c>
      <c r="L370" s="13">
        <v>0</v>
      </c>
      <c r="M370" s="14" cm="1">
        <f t="array" ref="M370">IFERROR(jauna_bil(D370,F370,J370,B370,L370),"Kluda!")</f>
        <v>5051</v>
      </c>
    </row>
    <row r="371" spans="1:13" x14ac:dyDescent="0.25">
      <c r="A371" s="12">
        <v>34095</v>
      </c>
      <c r="B371" s="13">
        <v>0</v>
      </c>
      <c r="C371" s="12"/>
      <c r="D371" s="13">
        <v>7466</v>
      </c>
      <c r="E371" s="12">
        <v>2</v>
      </c>
      <c r="F371" s="13" cm="1">
        <f t="array" ref="F371">IFERROR(atlaide(E371,B371),"Kluda!")</f>
        <v>0</v>
      </c>
      <c r="G371" s="13"/>
      <c r="H371" s="12">
        <v>15</v>
      </c>
      <c r="I371" s="12"/>
      <c r="J371" s="13" cm="1">
        <f t="array" ref="J371">palidzibas_d(H371,I371)</f>
        <v>0</v>
      </c>
      <c r="K371" s="13">
        <f>IFERROR(('Invoice Data'!$B371+'Invoice Data'!$D371-'Invoice Data'!$F371-'Invoice Data'!$J371+'Invoice Data'!$G371),"Kluda!")</f>
        <v>7466</v>
      </c>
      <c r="L371" s="13">
        <v>0</v>
      </c>
      <c r="M371" s="14" cm="1">
        <f t="array" ref="M371">IFERROR(jauna_bil(D371,F371,J371,B371,L371),"Kluda!")</f>
        <v>7466</v>
      </c>
    </row>
    <row r="372" spans="1:13" x14ac:dyDescent="0.25">
      <c r="A372" s="12">
        <v>34102</v>
      </c>
      <c r="B372" s="13">
        <v>0</v>
      </c>
      <c r="C372" s="12"/>
      <c r="D372" s="13">
        <v>4911</v>
      </c>
      <c r="E372" s="12">
        <v>1</v>
      </c>
      <c r="F372" s="13" cm="1">
        <f t="array" ref="F372">IFERROR(atlaide(E372,B372),"Kluda!")</f>
        <v>0</v>
      </c>
      <c r="G372" s="13"/>
      <c r="H372" s="12">
        <v>0</v>
      </c>
      <c r="I372" s="12"/>
      <c r="J372" s="13" cm="1">
        <f t="array" ref="J372">palidzibas_d(H372,I372)</f>
        <v>0</v>
      </c>
      <c r="K372" s="13">
        <f>IFERROR(('Invoice Data'!$B372+'Invoice Data'!$D372-'Invoice Data'!$F372-'Invoice Data'!$J372+'Invoice Data'!$G372),"Kluda!")</f>
        <v>4911</v>
      </c>
      <c r="L372" s="13">
        <v>0</v>
      </c>
      <c r="M372" s="14" cm="1">
        <f t="array" ref="M372">IFERROR(jauna_bil(D372,F372,J372,B372,L372),"Kluda!")</f>
        <v>4911</v>
      </c>
    </row>
    <row r="373" spans="1:13" x14ac:dyDescent="0.25">
      <c r="A373" s="12">
        <v>34111</v>
      </c>
      <c r="B373" s="13">
        <v>0</v>
      </c>
      <c r="C373" s="12"/>
      <c r="D373" s="13">
        <v>8512</v>
      </c>
      <c r="E373" s="12">
        <v>2</v>
      </c>
      <c r="F373" s="13" cm="1">
        <f t="array" ref="F373">IFERROR(atlaide(E373,B373),"Kluda!")</f>
        <v>0</v>
      </c>
      <c r="G373" s="13"/>
      <c r="H373" s="12">
        <v>10</v>
      </c>
      <c r="I373" s="12"/>
      <c r="J373" s="13" cm="1">
        <f t="array" ref="J373">palidzibas_d(H373,I373)</f>
        <v>0</v>
      </c>
      <c r="K373" s="13">
        <f>IFERROR(('Invoice Data'!$B373+'Invoice Data'!$D373-'Invoice Data'!$F373-'Invoice Data'!$J373+'Invoice Data'!$G373),"Kluda!")</f>
        <v>8512</v>
      </c>
      <c r="L373" s="13">
        <v>0</v>
      </c>
      <c r="M373" s="14" cm="1">
        <f t="array" ref="M373">IFERROR(jauna_bil(D373,F373,J373,B373,L373),"Kluda!")</f>
        <v>8512</v>
      </c>
    </row>
    <row r="374" spans="1:13" x14ac:dyDescent="0.25">
      <c r="A374" s="12">
        <v>34120</v>
      </c>
      <c r="B374" s="13">
        <v>0</v>
      </c>
      <c r="C374" s="12"/>
      <c r="D374" s="13">
        <v>4375</v>
      </c>
      <c r="E374" s="12">
        <v>1</v>
      </c>
      <c r="F374" s="13" cm="1">
        <f t="array" ref="F374">IFERROR(atlaide(E374,B374),"Kluda!")</f>
        <v>0</v>
      </c>
      <c r="G374" s="13"/>
      <c r="H374" s="12">
        <v>10</v>
      </c>
      <c r="I374" s="12"/>
      <c r="J374" s="13" cm="1">
        <f t="array" ref="J374">palidzibas_d(H374,I374)</f>
        <v>0</v>
      </c>
      <c r="K374" s="13">
        <f>IFERROR(('Invoice Data'!$B374+'Invoice Data'!$D374-'Invoice Data'!$F374-'Invoice Data'!$J374+'Invoice Data'!$G374),"Kluda!")</f>
        <v>4375</v>
      </c>
      <c r="L374" s="13">
        <v>0</v>
      </c>
      <c r="M374" s="14" cm="1">
        <f t="array" ref="M374">IFERROR(jauna_bil(D374,F374,J374,B374,L374),"Kluda!")</f>
        <v>4375</v>
      </c>
    </row>
    <row r="375" spans="1:13" x14ac:dyDescent="0.25">
      <c r="A375" s="12">
        <v>34139</v>
      </c>
      <c r="B375" s="13">
        <v>0</v>
      </c>
      <c r="C375" s="12"/>
      <c r="D375" s="13">
        <v>5547</v>
      </c>
      <c r="E375" s="12">
        <v>1</v>
      </c>
      <c r="F375" s="13" cm="1">
        <f t="array" ref="F375">IFERROR(atlaide(E375,B375),"Kluda!")</f>
        <v>0</v>
      </c>
      <c r="G375" s="13"/>
      <c r="H375" s="12">
        <v>15</v>
      </c>
      <c r="I375" s="12"/>
      <c r="J375" s="13" cm="1">
        <f t="array" ref="J375">palidzibas_d(H375,I375)</f>
        <v>0</v>
      </c>
      <c r="K375" s="13">
        <f>IFERROR(('Invoice Data'!$B375+'Invoice Data'!$D375-'Invoice Data'!$F375-'Invoice Data'!$J375+'Invoice Data'!$G375),"Kluda!")</f>
        <v>5547</v>
      </c>
      <c r="L375" s="13">
        <v>0</v>
      </c>
      <c r="M375" s="14" cm="1">
        <f t="array" ref="M375">IFERROR(jauna_bil(D375,F375,J375,B375,L375),"Kluda!")</f>
        <v>5547</v>
      </c>
    </row>
    <row r="376" spans="1:13" x14ac:dyDescent="0.25">
      <c r="A376" s="12">
        <v>34148</v>
      </c>
      <c r="B376" s="13">
        <v>0</v>
      </c>
      <c r="C376" s="12"/>
      <c r="D376" s="13">
        <v>3944</v>
      </c>
      <c r="E376" s="12">
        <v>1</v>
      </c>
      <c r="F376" s="13" cm="1">
        <f t="array" ref="F376">IFERROR(atlaide(E376,B376),"Kluda!")</f>
        <v>0</v>
      </c>
      <c r="G376" s="13"/>
      <c r="H376" s="12">
        <v>10</v>
      </c>
      <c r="I376" s="12"/>
      <c r="J376" s="13" cm="1">
        <f t="array" ref="J376">palidzibas_d(H376,I376)</f>
        <v>0</v>
      </c>
      <c r="K376" s="13">
        <f>IFERROR(('Invoice Data'!$B376+'Invoice Data'!$D376-'Invoice Data'!$F376-'Invoice Data'!$J376+'Invoice Data'!$G376),"Kluda!")</f>
        <v>3944</v>
      </c>
      <c r="L376" s="13">
        <v>0</v>
      </c>
      <c r="M376" s="14" cm="1">
        <f t="array" ref="M376">IFERROR(jauna_bil(D376,F376,J376,B376,L376),"Kluda!")</f>
        <v>3944</v>
      </c>
    </row>
    <row r="377" spans="1:13" x14ac:dyDescent="0.25">
      <c r="A377" s="12">
        <v>34157</v>
      </c>
      <c r="B377" s="13">
        <v>2655</v>
      </c>
      <c r="C377" s="12"/>
      <c r="D377" s="13">
        <v>8419</v>
      </c>
      <c r="E377" s="12">
        <v>2</v>
      </c>
      <c r="F377" s="13" cm="1">
        <f t="array" ref="F377">IFERROR(atlaide(E377,B377),"Kluda!")</f>
        <v>159.30000000000001</v>
      </c>
      <c r="G377" s="13"/>
      <c r="H377" s="12">
        <v>1</v>
      </c>
      <c r="I377" s="12"/>
      <c r="J377" s="13" cm="1">
        <f t="array" ref="J377">palidzibas_d(H377,I377)</f>
        <v>0</v>
      </c>
      <c r="K377" s="13">
        <f>IFERROR(('Invoice Data'!$B377+'Invoice Data'!$D377-'Invoice Data'!$F377-'Invoice Data'!$J377+'Invoice Data'!$G377),"Kluda!")</f>
        <v>10914.7</v>
      </c>
      <c r="L377" s="13">
        <v>0</v>
      </c>
      <c r="M377" s="14" cm="1">
        <f t="array" ref="M377">IFERROR(jauna_bil(D377,F377,J377,B377,L377),"Kluda!")</f>
        <v>5604.7000000000007</v>
      </c>
    </row>
    <row r="378" spans="1:13" x14ac:dyDescent="0.25">
      <c r="A378" s="12">
        <v>34166</v>
      </c>
      <c r="B378" s="13">
        <v>0</v>
      </c>
      <c r="C378" s="12"/>
      <c r="D378" s="13">
        <v>3824</v>
      </c>
      <c r="E378" s="12">
        <v>1</v>
      </c>
      <c r="F378" s="13" cm="1">
        <f t="array" ref="F378">IFERROR(atlaide(E378,B378),"Kluda!")</f>
        <v>0</v>
      </c>
      <c r="G378" s="13"/>
      <c r="H378" s="12">
        <v>0</v>
      </c>
      <c r="I378" s="12"/>
      <c r="J378" s="13" cm="1">
        <f t="array" ref="J378">palidzibas_d(H378,I378)</f>
        <v>0</v>
      </c>
      <c r="K378" s="13">
        <f>IFERROR(('Invoice Data'!$B378+'Invoice Data'!$D378-'Invoice Data'!$F378-'Invoice Data'!$J378+'Invoice Data'!$G378),"Kluda!")</f>
        <v>3824</v>
      </c>
      <c r="L378" s="13">
        <v>0</v>
      </c>
      <c r="M378" s="14" cm="1">
        <f t="array" ref="M378">IFERROR(jauna_bil(D378,F378,J378,B378,L378),"Kluda!")</f>
        <v>3824</v>
      </c>
    </row>
    <row r="379" spans="1:13" x14ac:dyDescent="0.25">
      <c r="A379" s="12">
        <v>34175</v>
      </c>
      <c r="B379" s="13">
        <v>0</v>
      </c>
      <c r="C379" s="12"/>
      <c r="D379" s="13">
        <v>6622</v>
      </c>
      <c r="E379" s="12">
        <v>2</v>
      </c>
      <c r="F379" s="13" cm="1">
        <f t="array" ref="F379">IFERROR(atlaide(E379,B379),"Kluda!")</f>
        <v>0</v>
      </c>
      <c r="G379" s="13"/>
      <c r="H379" s="12">
        <v>10</v>
      </c>
      <c r="I379" s="12"/>
      <c r="J379" s="13" cm="1">
        <f t="array" ref="J379">palidzibas_d(H379,I379)</f>
        <v>0</v>
      </c>
      <c r="K379" s="13">
        <f>IFERROR(('Invoice Data'!$B379+'Invoice Data'!$D379-'Invoice Data'!$F379-'Invoice Data'!$J379+'Invoice Data'!$G379),"Kluda!")</f>
        <v>6622</v>
      </c>
      <c r="L379" s="13">
        <v>0</v>
      </c>
      <c r="M379" s="14" cm="1">
        <f t="array" ref="M379">IFERROR(jauna_bil(D379,F379,J379,B379,L379),"Kluda!")</f>
        <v>6622</v>
      </c>
    </row>
    <row r="380" spans="1:13" x14ac:dyDescent="0.25">
      <c r="A380" s="12">
        <v>34184</v>
      </c>
      <c r="B380" s="13">
        <v>2858</v>
      </c>
      <c r="C380" s="12"/>
      <c r="D380" s="13">
        <v>10189</v>
      </c>
      <c r="E380" s="12">
        <v>2</v>
      </c>
      <c r="F380" s="13" cm="1">
        <f t="array" ref="F380">IFERROR(atlaide(E380,B380),"Kluda!")</f>
        <v>171.48</v>
      </c>
      <c r="G380" s="13"/>
      <c r="H380" s="12">
        <v>6</v>
      </c>
      <c r="I380" s="12"/>
      <c r="J380" s="13" cm="1">
        <f t="array" ref="J380">palidzibas_d(H380,I380)</f>
        <v>0</v>
      </c>
      <c r="K380" s="13">
        <f>IFERROR(('Invoice Data'!$B380+'Invoice Data'!$D380-'Invoice Data'!$F380-'Invoice Data'!$J380+'Invoice Data'!$G380),"Kluda!")</f>
        <v>12875.52</v>
      </c>
      <c r="L380" s="13">
        <v>0</v>
      </c>
      <c r="M380" s="14" cm="1">
        <f t="array" ref="M380">IFERROR(jauna_bil(D380,F380,J380,B380,L380),"Kluda!")</f>
        <v>7159.52</v>
      </c>
    </row>
    <row r="381" spans="1:13" x14ac:dyDescent="0.25">
      <c r="A381" s="12">
        <v>34193</v>
      </c>
      <c r="B381" s="13">
        <v>0</v>
      </c>
      <c r="C381" s="12"/>
      <c r="D381" s="13">
        <v>4354</v>
      </c>
      <c r="E381" s="12">
        <v>1</v>
      </c>
      <c r="F381" s="13" cm="1">
        <f t="array" ref="F381">IFERROR(atlaide(E381,B381),"Kluda!")</f>
        <v>0</v>
      </c>
      <c r="G381" s="13"/>
      <c r="H381" s="12">
        <v>0</v>
      </c>
      <c r="I381" s="12" t="b">
        <v>1</v>
      </c>
      <c r="J381" s="13" cm="1">
        <f t="array" ref="J381">palidzibas_d(H381,I381)</f>
        <v>0</v>
      </c>
      <c r="K381" s="13">
        <f>IFERROR(('Invoice Data'!$B381+'Invoice Data'!$D381-'Invoice Data'!$F381-'Invoice Data'!$J381+'Invoice Data'!$G381),"Kluda!")</f>
        <v>4354</v>
      </c>
      <c r="L381" s="13">
        <v>0</v>
      </c>
      <c r="M381" s="14" cm="1">
        <f t="array" ref="M381">IFERROR(jauna_bil(D381,F381,J381,B381,L381),"Kluda!")</f>
        <v>4354</v>
      </c>
    </row>
    <row r="382" spans="1:13" x14ac:dyDescent="0.25">
      <c r="A382" s="12">
        <v>34200</v>
      </c>
      <c r="B382" s="13">
        <v>0</v>
      </c>
      <c r="C382" s="12"/>
      <c r="D382" s="13">
        <v>4944</v>
      </c>
      <c r="E382" s="12">
        <v>1</v>
      </c>
      <c r="F382" s="13" cm="1">
        <f t="array" ref="F382">IFERROR(atlaide(E382,B382),"Kluda!")</f>
        <v>0</v>
      </c>
      <c r="G382" s="13"/>
      <c r="H382" s="12">
        <v>13</v>
      </c>
      <c r="I382" s="12"/>
      <c r="J382" s="13" cm="1">
        <f t="array" ref="J382">palidzibas_d(H382,I382)</f>
        <v>0</v>
      </c>
      <c r="K382" s="13">
        <f>IFERROR(('Invoice Data'!$B382+'Invoice Data'!$D382-'Invoice Data'!$F382-'Invoice Data'!$J382+'Invoice Data'!$G382),"Kluda!")</f>
        <v>4944</v>
      </c>
      <c r="L382" s="13">
        <v>0</v>
      </c>
      <c r="M382" s="14" cm="1">
        <f t="array" ref="M382">IFERROR(jauna_bil(D382,F382,J382,B382,L382),"Kluda!")</f>
        <v>4944</v>
      </c>
    </row>
    <row r="383" spans="1:13" x14ac:dyDescent="0.25">
      <c r="A383" s="12">
        <v>34219</v>
      </c>
      <c r="B383" s="13">
        <v>0</v>
      </c>
      <c r="C383" s="12"/>
      <c r="D383" s="13">
        <v>4984</v>
      </c>
      <c r="E383" s="12">
        <v>1</v>
      </c>
      <c r="F383" s="13" cm="1">
        <f t="array" ref="F383">IFERROR(atlaide(E383,B383),"Kluda!")</f>
        <v>0</v>
      </c>
      <c r="G383" s="13"/>
      <c r="H383" s="12">
        <v>4</v>
      </c>
      <c r="I383" s="12"/>
      <c r="J383" s="13" cm="1">
        <f t="array" ref="J383">palidzibas_d(H383,I383)</f>
        <v>0</v>
      </c>
      <c r="K383" s="13">
        <f>IFERROR(('Invoice Data'!$B383+'Invoice Data'!$D383-'Invoice Data'!$F383-'Invoice Data'!$J383+'Invoice Data'!$G383),"Kluda!")</f>
        <v>4984</v>
      </c>
      <c r="L383" s="13">
        <v>0</v>
      </c>
      <c r="M383" s="14" cm="1">
        <f t="array" ref="M383">IFERROR(jauna_bil(D383,F383,J383,B383,L383),"Kluda!")</f>
        <v>4984</v>
      </c>
    </row>
    <row r="384" spans="1:13" x14ac:dyDescent="0.25">
      <c r="A384" s="12">
        <v>34228</v>
      </c>
      <c r="B384" s="13">
        <v>0</v>
      </c>
      <c r="C384" s="12"/>
      <c r="D384" s="13">
        <v>7831</v>
      </c>
      <c r="E384" s="12">
        <v>2</v>
      </c>
      <c r="F384" s="13" cm="1">
        <f t="array" ref="F384">IFERROR(atlaide(E384,B384),"Kluda!")</f>
        <v>0</v>
      </c>
      <c r="G384" s="13"/>
      <c r="H384" s="12">
        <v>7</v>
      </c>
      <c r="I384" s="12"/>
      <c r="J384" s="13" cm="1">
        <f t="array" ref="J384">palidzibas_d(H384,I384)</f>
        <v>0</v>
      </c>
      <c r="K384" s="13">
        <f>IFERROR(('Invoice Data'!$B384+'Invoice Data'!$D384-'Invoice Data'!$F384-'Invoice Data'!$J384+'Invoice Data'!$G384),"Kluda!")</f>
        <v>7831</v>
      </c>
      <c r="L384" s="13">
        <v>0</v>
      </c>
      <c r="M384" s="14" cm="1">
        <f t="array" ref="M384">IFERROR(jauna_bil(D384,F384,J384,B384,L384),"Kluda!")</f>
        <v>7831</v>
      </c>
    </row>
    <row r="385" spans="1:13" x14ac:dyDescent="0.25">
      <c r="A385" s="12">
        <v>34237</v>
      </c>
      <c r="B385" s="13">
        <v>0</v>
      </c>
      <c r="C385" s="12"/>
      <c r="D385" s="13">
        <v>3829</v>
      </c>
      <c r="E385" s="12">
        <v>1</v>
      </c>
      <c r="F385" s="13" cm="1">
        <f t="array" ref="F385">IFERROR(atlaide(E385,B385),"Kluda!")</f>
        <v>0</v>
      </c>
      <c r="G385" s="13"/>
      <c r="H385" s="12">
        <v>1</v>
      </c>
      <c r="I385" s="12"/>
      <c r="J385" s="13" cm="1">
        <f t="array" ref="J385">palidzibas_d(H385,I385)</f>
        <v>0</v>
      </c>
      <c r="K385" s="13">
        <f>IFERROR(('Invoice Data'!$B385+'Invoice Data'!$D385-'Invoice Data'!$F385-'Invoice Data'!$J385+'Invoice Data'!$G385),"Kluda!")</f>
        <v>3829</v>
      </c>
      <c r="L385" s="13">
        <v>0</v>
      </c>
      <c r="M385" s="14" cm="1">
        <f t="array" ref="M385">IFERROR(jauna_bil(D385,F385,J385,B385,L385),"Kluda!")</f>
        <v>3829</v>
      </c>
    </row>
    <row r="386" spans="1:13" x14ac:dyDescent="0.25">
      <c r="A386" s="12">
        <v>34246</v>
      </c>
      <c r="B386" s="13">
        <v>0</v>
      </c>
      <c r="C386" s="12"/>
      <c r="D386" s="13">
        <v>3873</v>
      </c>
      <c r="E386" s="12">
        <v>1</v>
      </c>
      <c r="F386" s="13" cm="1">
        <f t="array" ref="F386">IFERROR(atlaide(E386,B386),"Kluda!")</f>
        <v>0</v>
      </c>
      <c r="G386" s="13"/>
      <c r="H386" s="12">
        <v>4</v>
      </c>
      <c r="I386" s="12"/>
      <c r="J386" s="13" cm="1">
        <f t="array" ref="J386">palidzibas_d(H386,I386)</f>
        <v>0</v>
      </c>
      <c r="K386" s="13">
        <f>IFERROR(('Invoice Data'!$B386+'Invoice Data'!$D386-'Invoice Data'!$F386-'Invoice Data'!$J386+'Invoice Data'!$G386),"Kluda!")</f>
        <v>3873</v>
      </c>
      <c r="L386" s="13">
        <v>0</v>
      </c>
      <c r="M386" s="14" cm="1">
        <f t="array" ref="M386">IFERROR(jauna_bil(D386,F386,J386,B386,L386),"Kluda!")</f>
        <v>3873</v>
      </c>
    </row>
    <row r="387" spans="1:13" x14ac:dyDescent="0.25">
      <c r="A387" s="12">
        <v>34255</v>
      </c>
      <c r="B387" s="13">
        <v>0</v>
      </c>
      <c r="C387" s="12"/>
      <c r="D387" s="13">
        <v>7133</v>
      </c>
      <c r="E387" s="12">
        <v>2</v>
      </c>
      <c r="F387" s="13" cm="1">
        <f t="array" ref="F387">IFERROR(atlaide(E387,B387),"Kluda!")</f>
        <v>0</v>
      </c>
      <c r="G387" s="13"/>
      <c r="H387" s="12">
        <v>8</v>
      </c>
      <c r="I387" s="12"/>
      <c r="J387" s="13" cm="1">
        <f t="array" ref="J387">palidzibas_d(H387,I387)</f>
        <v>0</v>
      </c>
      <c r="K387" s="13">
        <f>IFERROR(('Invoice Data'!$B387+'Invoice Data'!$D387-'Invoice Data'!$F387-'Invoice Data'!$J387+'Invoice Data'!$G387),"Kluda!")</f>
        <v>7133</v>
      </c>
      <c r="L387" s="13">
        <v>0</v>
      </c>
      <c r="M387" s="14" cm="1">
        <f t="array" ref="M387">IFERROR(jauna_bil(D387,F387,J387,B387,L387),"Kluda!")</f>
        <v>7133</v>
      </c>
    </row>
    <row r="388" spans="1:13" x14ac:dyDescent="0.25">
      <c r="A388" s="12">
        <v>34264</v>
      </c>
      <c r="B388" s="13">
        <v>0</v>
      </c>
      <c r="C388" s="12"/>
      <c r="D388" s="13">
        <v>9792</v>
      </c>
      <c r="E388" s="12">
        <v>2</v>
      </c>
      <c r="F388" s="13" cm="1">
        <f t="array" ref="F388">IFERROR(atlaide(E388,B388),"Kluda!")</f>
        <v>0</v>
      </c>
      <c r="G388" s="13"/>
      <c r="H388" s="12">
        <v>8</v>
      </c>
      <c r="I388" s="12"/>
      <c r="J388" s="13" cm="1">
        <f t="array" ref="J388">palidzibas_d(H388,I388)</f>
        <v>0</v>
      </c>
      <c r="K388" s="13">
        <f>IFERROR(('Invoice Data'!$B388+'Invoice Data'!$D388-'Invoice Data'!$F388-'Invoice Data'!$J388+'Invoice Data'!$G388),"Kluda!")</f>
        <v>9792</v>
      </c>
      <c r="L388" s="13">
        <v>0</v>
      </c>
      <c r="M388" s="14" cm="1">
        <f t="array" ref="M388">IFERROR(jauna_bil(D388,F388,J388,B388,L388),"Kluda!")</f>
        <v>9792</v>
      </c>
    </row>
    <row r="389" spans="1:13" x14ac:dyDescent="0.25">
      <c r="A389" s="12">
        <v>34273</v>
      </c>
      <c r="B389" s="13">
        <v>0</v>
      </c>
      <c r="C389" s="12"/>
      <c r="D389" s="13">
        <v>3801</v>
      </c>
      <c r="E389" s="12">
        <v>1</v>
      </c>
      <c r="F389" s="13" cm="1">
        <f t="array" ref="F389">IFERROR(atlaide(E389,B389),"Kluda!")</f>
        <v>0</v>
      </c>
      <c r="G389" s="13"/>
      <c r="H389" s="12">
        <v>2</v>
      </c>
      <c r="I389" s="12"/>
      <c r="J389" s="13" cm="1">
        <f t="array" ref="J389">palidzibas_d(H389,I389)</f>
        <v>0</v>
      </c>
      <c r="K389" s="13">
        <f>IFERROR(('Invoice Data'!$B389+'Invoice Data'!$D389-'Invoice Data'!$F389-'Invoice Data'!$J389+'Invoice Data'!$G389),"Kluda!")</f>
        <v>3801</v>
      </c>
      <c r="L389" s="13">
        <v>0</v>
      </c>
      <c r="M389" s="14" cm="1">
        <f t="array" ref="M389">IFERROR(jauna_bil(D389,F389,J389,B389,L389),"Kluda!")</f>
        <v>3801</v>
      </c>
    </row>
    <row r="390" spans="1:13" x14ac:dyDescent="0.25">
      <c r="A390" s="12">
        <v>34282</v>
      </c>
      <c r="B390" s="13">
        <v>0</v>
      </c>
      <c r="C390" s="12"/>
      <c r="D390" s="13">
        <v>3546</v>
      </c>
      <c r="E390" s="12">
        <v>1</v>
      </c>
      <c r="F390" s="13" cm="1">
        <f t="array" ref="F390">IFERROR(atlaide(E390,B390),"Kluda!")</f>
        <v>0</v>
      </c>
      <c r="G390" s="13"/>
      <c r="H390" s="12">
        <v>10</v>
      </c>
      <c r="I390" s="12"/>
      <c r="J390" s="13" cm="1">
        <f t="array" ref="J390">palidzibas_d(H390,I390)</f>
        <v>0</v>
      </c>
      <c r="K390" s="13">
        <f>IFERROR(('Invoice Data'!$B390+'Invoice Data'!$D390-'Invoice Data'!$F390-'Invoice Data'!$J390+'Invoice Data'!$G390),"Kluda!")</f>
        <v>3546</v>
      </c>
      <c r="L390" s="13">
        <v>0</v>
      </c>
      <c r="M390" s="14" cm="1">
        <f t="array" ref="M390">IFERROR(jauna_bil(D390,F390,J390,B390,L390),"Kluda!")</f>
        <v>3546</v>
      </c>
    </row>
    <row r="391" spans="1:13" x14ac:dyDescent="0.25">
      <c r="A391" s="12">
        <v>34291</v>
      </c>
      <c r="B391" s="13">
        <v>0</v>
      </c>
      <c r="C391" s="12"/>
      <c r="D391" s="13">
        <v>5251</v>
      </c>
      <c r="E391" s="12">
        <v>1</v>
      </c>
      <c r="F391" s="13" cm="1">
        <f t="array" ref="F391">IFERROR(atlaide(E391,B391),"Kluda!")</f>
        <v>0</v>
      </c>
      <c r="G391" s="13"/>
      <c r="H391" s="12">
        <v>2</v>
      </c>
      <c r="I391" s="12"/>
      <c r="J391" s="13" cm="1">
        <f t="array" ref="J391">palidzibas_d(H391,I391)</f>
        <v>0</v>
      </c>
      <c r="K391" s="13">
        <f>IFERROR(('Invoice Data'!$B391+'Invoice Data'!$D391-'Invoice Data'!$F391-'Invoice Data'!$J391+'Invoice Data'!$G391),"Kluda!")</f>
        <v>5251</v>
      </c>
      <c r="L391" s="13">
        <v>0</v>
      </c>
      <c r="M391" s="14" cm="1">
        <f t="array" ref="M391">IFERROR(jauna_bil(D391,F391,J391,B391,L391),"Kluda!")</f>
        <v>5251</v>
      </c>
    </row>
    <row r="392" spans="1:13" x14ac:dyDescent="0.25">
      <c r="A392" s="12">
        <v>34308</v>
      </c>
      <c r="B392" s="13">
        <v>0</v>
      </c>
      <c r="C392" s="12"/>
      <c r="D392" s="13">
        <v>8017</v>
      </c>
      <c r="E392" s="12">
        <v>2</v>
      </c>
      <c r="F392" s="13" cm="1">
        <f t="array" ref="F392">IFERROR(atlaide(E392,B392),"Kluda!")</f>
        <v>0</v>
      </c>
      <c r="G392" s="13"/>
      <c r="H392" s="12">
        <v>14</v>
      </c>
      <c r="I392" s="12"/>
      <c r="J392" s="13" cm="1">
        <f t="array" ref="J392">palidzibas_d(H392,I392)</f>
        <v>0</v>
      </c>
      <c r="K392" s="13">
        <f>IFERROR(('Invoice Data'!$B392+'Invoice Data'!$D392-'Invoice Data'!$F392-'Invoice Data'!$J392+'Invoice Data'!$G392),"Kluda!")</f>
        <v>8017</v>
      </c>
      <c r="L392" s="13">
        <v>0</v>
      </c>
      <c r="M392" s="14" cm="1">
        <f t="array" ref="M392">IFERROR(jauna_bil(D392,F392,J392,B392,L392),"Kluda!")</f>
        <v>8017</v>
      </c>
    </row>
    <row r="393" spans="1:13" x14ac:dyDescent="0.25">
      <c r="A393" s="12">
        <v>34317</v>
      </c>
      <c r="B393" s="13">
        <v>0</v>
      </c>
      <c r="C393" s="12"/>
      <c r="D393" s="13">
        <v>10042</v>
      </c>
      <c r="E393" s="12">
        <v>2</v>
      </c>
      <c r="F393" s="13" cm="1">
        <f t="array" ref="F393">IFERROR(atlaide(E393,B393),"Kluda!")</f>
        <v>0</v>
      </c>
      <c r="G393" s="13"/>
      <c r="H393" s="12">
        <v>7</v>
      </c>
      <c r="I393" s="12"/>
      <c r="J393" s="13" cm="1">
        <f t="array" ref="J393">palidzibas_d(H393,I393)</f>
        <v>0</v>
      </c>
      <c r="K393" s="13">
        <f>IFERROR(('Invoice Data'!$B393+'Invoice Data'!$D393-'Invoice Data'!$F393-'Invoice Data'!$J393+'Invoice Data'!$G393),"Kluda!")</f>
        <v>10042</v>
      </c>
      <c r="L393" s="13">
        <v>0</v>
      </c>
      <c r="M393" s="14" cm="1">
        <f t="array" ref="M393">IFERROR(jauna_bil(D393,F393,J393,B393,L393),"Kluda!")</f>
        <v>10042</v>
      </c>
    </row>
    <row r="394" spans="1:13" x14ac:dyDescent="0.25">
      <c r="A394" s="12">
        <v>34326</v>
      </c>
      <c r="B394" s="13">
        <v>0</v>
      </c>
      <c r="C394" s="12"/>
      <c r="D394" s="13">
        <v>7284</v>
      </c>
      <c r="E394" s="12">
        <v>2</v>
      </c>
      <c r="F394" s="13" cm="1">
        <f t="array" ref="F394">IFERROR(atlaide(E394,B394),"Kluda!")</f>
        <v>0</v>
      </c>
      <c r="G394" s="13"/>
      <c r="H394" s="12">
        <v>5</v>
      </c>
      <c r="I394" s="12"/>
      <c r="J394" s="13" cm="1">
        <f t="array" ref="J394">palidzibas_d(H394,I394)</f>
        <v>0</v>
      </c>
      <c r="K394" s="13">
        <f>IFERROR(('Invoice Data'!$B394+'Invoice Data'!$D394-'Invoice Data'!$F394-'Invoice Data'!$J394+'Invoice Data'!$G394),"Kluda!")</f>
        <v>7284</v>
      </c>
      <c r="L394" s="13">
        <v>0</v>
      </c>
      <c r="M394" s="14" cm="1">
        <f t="array" ref="M394">IFERROR(jauna_bil(D394,F394,J394,B394,L394),"Kluda!")</f>
        <v>7284</v>
      </c>
    </row>
    <row r="395" spans="1:13" x14ac:dyDescent="0.25">
      <c r="A395" s="12">
        <v>34335</v>
      </c>
      <c r="B395" s="13">
        <v>0</v>
      </c>
      <c r="C395" s="12"/>
      <c r="D395" s="13">
        <v>5249</v>
      </c>
      <c r="E395" s="12">
        <v>1</v>
      </c>
      <c r="F395" s="13" cm="1">
        <f t="array" ref="F395">IFERROR(atlaide(E395,B395),"Kluda!")</f>
        <v>0</v>
      </c>
      <c r="G395" s="13"/>
      <c r="H395" s="12">
        <v>6</v>
      </c>
      <c r="I395" s="12"/>
      <c r="J395" s="13" cm="1">
        <f t="array" ref="J395">palidzibas_d(H395,I395)</f>
        <v>0</v>
      </c>
      <c r="K395" s="13">
        <f>IFERROR(('Invoice Data'!$B395+'Invoice Data'!$D395-'Invoice Data'!$F395-'Invoice Data'!$J395+'Invoice Data'!$G395),"Kluda!")</f>
        <v>5249</v>
      </c>
      <c r="L395" s="13">
        <v>0</v>
      </c>
      <c r="M395" s="14" cm="1">
        <f t="array" ref="M395">IFERROR(jauna_bil(D395,F395,J395,B395,L395),"Kluda!")</f>
        <v>5249</v>
      </c>
    </row>
    <row r="396" spans="1:13" x14ac:dyDescent="0.25">
      <c r="A396" s="12">
        <v>34344</v>
      </c>
      <c r="B396" s="13">
        <v>0</v>
      </c>
      <c r="C396" s="12"/>
      <c r="D396" s="13">
        <v>7033</v>
      </c>
      <c r="E396" s="12">
        <v>2</v>
      </c>
      <c r="F396" s="13" cm="1">
        <f t="array" ref="F396">IFERROR(atlaide(E396,B396),"Kluda!")</f>
        <v>0</v>
      </c>
      <c r="G396" s="13"/>
      <c r="H396" s="12">
        <v>0</v>
      </c>
      <c r="I396" s="12"/>
      <c r="J396" s="13" cm="1">
        <f t="array" ref="J396">palidzibas_d(H396,I396)</f>
        <v>0</v>
      </c>
      <c r="K396" s="13">
        <f>IFERROR(('Invoice Data'!$B396+'Invoice Data'!$D396-'Invoice Data'!$F396-'Invoice Data'!$J396+'Invoice Data'!$G396),"Kluda!")</f>
        <v>7033</v>
      </c>
      <c r="L396" s="13">
        <v>0</v>
      </c>
      <c r="M396" s="14" cm="1">
        <f t="array" ref="M396">IFERROR(jauna_bil(D396,F396,J396,B396,L396),"Kluda!")</f>
        <v>7033</v>
      </c>
    </row>
    <row r="397" spans="1:13" x14ac:dyDescent="0.25">
      <c r="A397" s="12">
        <v>34353</v>
      </c>
      <c r="B397" s="13">
        <v>0</v>
      </c>
      <c r="C397" s="12"/>
      <c r="D397" s="13">
        <v>4801</v>
      </c>
      <c r="E397" s="12">
        <v>1</v>
      </c>
      <c r="F397" s="13" cm="1">
        <f t="array" ref="F397">IFERROR(atlaide(E397,B397),"Kluda!")</f>
        <v>0</v>
      </c>
      <c r="G397" s="13"/>
      <c r="H397" s="12">
        <v>8</v>
      </c>
      <c r="I397" s="12"/>
      <c r="J397" s="13" cm="1">
        <f t="array" ref="J397">palidzibas_d(H397,I397)</f>
        <v>0</v>
      </c>
      <c r="K397" s="13">
        <f>IFERROR(('Invoice Data'!$B397+'Invoice Data'!$D397-'Invoice Data'!$F397-'Invoice Data'!$J397+'Invoice Data'!$G397),"Kluda!")</f>
        <v>4801</v>
      </c>
      <c r="L397" s="13">
        <v>0</v>
      </c>
      <c r="M397" s="14" cm="1">
        <f t="array" ref="M397">IFERROR(jauna_bil(D397,F397,J397,B397,L397),"Kluda!")</f>
        <v>4801</v>
      </c>
    </row>
    <row r="398" spans="1:13" x14ac:dyDescent="0.25">
      <c r="A398" s="12">
        <v>34362</v>
      </c>
      <c r="B398" s="13">
        <v>0</v>
      </c>
      <c r="C398" s="12"/>
      <c r="D398" s="13">
        <v>4251</v>
      </c>
      <c r="E398" s="12">
        <v>1</v>
      </c>
      <c r="F398" s="13" cm="1">
        <f t="array" ref="F398">IFERROR(atlaide(E398,B398),"Kluda!")</f>
        <v>0</v>
      </c>
      <c r="G398" s="13"/>
      <c r="H398" s="12">
        <v>7</v>
      </c>
      <c r="I398" s="12"/>
      <c r="J398" s="13" cm="1">
        <f t="array" ref="J398">palidzibas_d(H398,I398)</f>
        <v>0</v>
      </c>
      <c r="K398" s="13">
        <f>IFERROR(('Invoice Data'!$B398+'Invoice Data'!$D398-'Invoice Data'!$F398-'Invoice Data'!$J398+'Invoice Data'!$G398),"Kluda!")</f>
        <v>4251</v>
      </c>
      <c r="L398" s="13">
        <v>0</v>
      </c>
      <c r="M398" s="14" cm="1">
        <f t="array" ref="M398">IFERROR(jauna_bil(D398,F398,J398,B398,L398),"Kluda!")</f>
        <v>4251</v>
      </c>
    </row>
    <row r="399" spans="1:13" x14ac:dyDescent="0.25">
      <c r="A399" s="12">
        <v>34371</v>
      </c>
      <c r="B399" s="13">
        <v>0</v>
      </c>
      <c r="C399" s="12"/>
      <c r="D399" s="13">
        <v>5425</v>
      </c>
      <c r="E399" s="12">
        <v>1</v>
      </c>
      <c r="F399" s="13" cm="1">
        <f t="array" ref="F399">IFERROR(atlaide(E399,B399),"Kluda!")</f>
        <v>0</v>
      </c>
      <c r="G399" s="13"/>
      <c r="H399" s="12">
        <v>6</v>
      </c>
      <c r="I399" s="12"/>
      <c r="J399" s="13" cm="1">
        <f t="array" ref="J399">palidzibas_d(H399,I399)</f>
        <v>0</v>
      </c>
      <c r="K399" s="13">
        <f>IFERROR(('Invoice Data'!$B399+'Invoice Data'!$D399-'Invoice Data'!$F399-'Invoice Data'!$J399+'Invoice Data'!$G399),"Kluda!")</f>
        <v>5425</v>
      </c>
      <c r="L399" s="13">
        <v>0</v>
      </c>
      <c r="M399" s="14" cm="1">
        <f t="array" ref="M399">IFERROR(jauna_bil(D399,F399,J399,B399,L399),"Kluda!")</f>
        <v>5425</v>
      </c>
    </row>
    <row r="400" spans="1:13" x14ac:dyDescent="0.25">
      <c r="A400" s="12">
        <v>34380</v>
      </c>
      <c r="B400" s="13">
        <v>0</v>
      </c>
      <c r="C400" s="12"/>
      <c r="D400" s="13">
        <v>6536</v>
      </c>
      <c r="E400" s="12">
        <v>2</v>
      </c>
      <c r="F400" s="13" cm="1">
        <f t="array" ref="F400">IFERROR(atlaide(E400,B400),"Kluda!")</f>
        <v>0</v>
      </c>
      <c r="G400" s="13"/>
      <c r="H400" s="12">
        <v>7</v>
      </c>
      <c r="I400" s="12"/>
      <c r="J400" s="13" cm="1">
        <f t="array" ref="J400">palidzibas_d(H400,I400)</f>
        <v>0</v>
      </c>
      <c r="K400" s="13">
        <f>IFERROR(('Invoice Data'!$B400+'Invoice Data'!$D400-'Invoice Data'!$F400-'Invoice Data'!$J400+'Invoice Data'!$G400),"Kluda!")</f>
        <v>6536</v>
      </c>
      <c r="L400" s="13">
        <v>0</v>
      </c>
      <c r="M400" s="14" cm="1">
        <f t="array" ref="M400">IFERROR(jauna_bil(D400,F400,J400,B400,L400),"Kluda!")</f>
        <v>6536</v>
      </c>
    </row>
    <row r="401" spans="1:13" x14ac:dyDescent="0.25">
      <c r="A401" s="12">
        <v>34399</v>
      </c>
      <c r="B401" s="13">
        <v>0</v>
      </c>
      <c r="C401" s="12"/>
      <c r="D401" s="13">
        <v>7231</v>
      </c>
      <c r="E401" s="12">
        <v>2</v>
      </c>
      <c r="F401" s="13" cm="1">
        <f t="array" ref="F401">IFERROR(atlaide(E401,B401),"Kluda!")</f>
        <v>0</v>
      </c>
      <c r="G401" s="13"/>
      <c r="H401" s="12">
        <v>12</v>
      </c>
      <c r="I401" s="12"/>
      <c r="J401" s="13" cm="1">
        <f t="array" ref="J401">palidzibas_d(H401,I401)</f>
        <v>0</v>
      </c>
      <c r="K401" s="13">
        <f>IFERROR(('Invoice Data'!$B401+'Invoice Data'!$D401-'Invoice Data'!$F401-'Invoice Data'!$J401+'Invoice Data'!$G401),"Kluda!")</f>
        <v>7231</v>
      </c>
      <c r="L401" s="13">
        <v>0</v>
      </c>
      <c r="M401" s="14" cm="1">
        <f t="array" ref="M401">IFERROR(jauna_bil(D401,F401,J401,B401,L401),"Kluda!")</f>
        <v>7231</v>
      </c>
    </row>
    <row r="402" spans="1:13" x14ac:dyDescent="0.25">
      <c r="A402" s="12">
        <v>34406</v>
      </c>
      <c r="B402" s="13">
        <v>0</v>
      </c>
      <c r="C402" s="12"/>
      <c r="D402" s="13">
        <v>4674</v>
      </c>
      <c r="E402" s="12">
        <v>1</v>
      </c>
      <c r="F402" s="13" cm="1">
        <f t="array" ref="F402">IFERROR(atlaide(E402,B402),"Kluda!")</f>
        <v>0</v>
      </c>
      <c r="G402" s="13"/>
      <c r="H402" s="12">
        <v>2</v>
      </c>
      <c r="I402" s="12"/>
      <c r="J402" s="13" cm="1">
        <f t="array" ref="J402">palidzibas_d(H402,I402)</f>
        <v>0</v>
      </c>
      <c r="K402" s="13">
        <f>IFERROR(('Invoice Data'!$B402+'Invoice Data'!$D402-'Invoice Data'!$F402-'Invoice Data'!$J402+'Invoice Data'!$G402),"Kluda!")</f>
        <v>4674</v>
      </c>
      <c r="L402" s="13">
        <v>0</v>
      </c>
      <c r="M402" s="14" cm="1">
        <f t="array" ref="M402">IFERROR(jauna_bil(D402,F402,J402,B402,L402),"Kluda!")</f>
        <v>4674</v>
      </c>
    </row>
    <row r="403" spans="1:13" x14ac:dyDescent="0.25">
      <c r="A403" s="12">
        <v>34415</v>
      </c>
      <c r="B403" s="13">
        <v>0</v>
      </c>
      <c r="C403" s="12"/>
      <c r="D403" s="13">
        <v>4988</v>
      </c>
      <c r="E403" s="12">
        <v>1</v>
      </c>
      <c r="F403" s="13" cm="1">
        <f t="array" ref="F403">IFERROR(atlaide(E403,B403),"Kluda!")</f>
        <v>0</v>
      </c>
      <c r="G403" s="13"/>
      <c r="H403" s="12">
        <v>10</v>
      </c>
      <c r="I403" s="12"/>
      <c r="J403" s="13" cm="1">
        <f t="array" ref="J403">palidzibas_d(H403,I403)</f>
        <v>0</v>
      </c>
      <c r="K403" s="13">
        <f>IFERROR(('Invoice Data'!$B403+'Invoice Data'!$D403-'Invoice Data'!$F403-'Invoice Data'!$J403+'Invoice Data'!$G403),"Kluda!")</f>
        <v>4988</v>
      </c>
      <c r="L403" s="13">
        <v>0</v>
      </c>
      <c r="M403" s="14" cm="1">
        <f t="array" ref="M403">IFERROR(jauna_bil(D403,F403,J403,B403,L403),"Kluda!")</f>
        <v>4988</v>
      </c>
    </row>
    <row r="404" spans="1:13" x14ac:dyDescent="0.25">
      <c r="A404" s="12">
        <v>34424</v>
      </c>
      <c r="B404" s="13">
        <v>0</v>
      </c>
      <c r="C404" s="12"/>
      <c r="D404" s="13">
        <v>7274</v>
      </c>
      <c r="E404" s="12">
        <v>2</v>
      </c>
      <c r="F404" s="13" cm="1">
        <f t="array" ref="F404">IFERROR(atlaide(E404,B404),"Kluda!")</f>
        <v>0</v>
      </c>
      <c r="G404" s="13"/>
      <c r="H404" s="12">
        <v>2</v>
      </c>
      <c r="I404" s="12"/>
      <c r="J404" s="13" cm="1">
        <f t="array" ref="J404">palidzibas_d(H404,I404)</f>
        <v>0</v>
      </c>
      <c r="K404" s="13">
        <f>IFERROR(('Invoice Data'!$B404+'Invoice Data'!$D404-'Invoice Data'!$F404-'Invoice Data'!$J404+'Invoice Data'!$G404),"Kluda!")</f>
        <v>7274</v>
      </c>
      <c r="L404" s="13">
        <v>0</v>
      </c>
      <c r="M404" s="14" cm="1">
        <f t="array" ref="M404">IFERROR(jauna_bil(D404,F404,J404,B404,L404),"Kluda!")</f>
        <v>7274</v>
      </c>
    </row>
    <row r="405" spans="1:13" x14ac:dyDescent="0.25">
      <c r="A405" s="12">
        <v>34433</v>
      </c>
      <c r="B405" s="13">
        <v>0</v>
      </c>
      <c r="C405" s="12"/>
      <c r="D405" s="13">
        <v>4694</v>
      </c>
      <c r="E405" s="12">
        <v>1</v>
      </c>
      <c r="F405" s="13" cm="1">
        <f t="array" ref="F405">IFERROR(atlaide(E405,B405),"Kluda!")</f>
        <v>0</v>
      </c>
      <c r="G405" s="13"/>
      <c r="H405" s="12">
        <v>12</v>
      </c>
      <c r="I405" s="12"/>
      <c r="J405" s="13" cm="1">
        <f t="array" ref="J405">palidzibas_d(H405,I405)</f>
        <v>0</v>
      </c>
      <c r="K405" s="13">
        <f>IFERROR(('Invoice Data'!$B405+'Invoice Data'!$D405-'Invoice Data'!$F405-'Invoice Data'!$J405+'Invoice Data'!$G405),"Kluda!")</f>
        <v>4694</v>
      </c>
      <c r="L405" s="13">
        <v>0</v>
      </c>
      <c r="M405" s="14" cm="1">
        <f t="array" ref="M405">IFERROR(jauna_bil(D405,F405,J405,B405,L405),"Kluda!")</f>
        <v>4694</v>
      </c>
    </row>
    <row r="406" spans="1:13" x14ac:dyDescent="0.25">
      <c r="A406" s="12">
        <v>34442</v>
      </c>
      <c r="B406" s="13">
        <v>0</v>
      </c>
      <c r="C406" s="12"/>
      <c r="D406" s="13">
        <v>7329</v>
      </c>
      <c r="E406" s="12">
        <v>2</v>
      </c>
      <c r="F406" s="13" cm="1">
        <f t="array" ref="F406">IFERROR(atlaide(E406,B406),"Kluda!")</f>
        <v>0</v>
      </c>
      <c r="G406" s="13"/>
      <c r="H406" s="12">
        <v>12</v>
      </c>
      <c r="I406" s="12"/>
      <c r="J406" s="13" cm="1">
        <f t="array" ref="J406">palidzibas_d(H406,I406)</f>
        <v>0</v>
      </c>
      <c r="K406" s="13">
        <f>IFERROR(('Invoice Data'!$B406+'Invoice Data'!$D406-'Invoice Data'!$F406-'Invoice Data'!$J406+'Invoice Data'!$G406),"Kluda!")</f>
        <v>7329</v>
      </c>
      <c r="L406" s="13">
        <v>0</v>
      </c>
      <c r="M406" s="14" cm="1">
        <f t="array" ref="M406">IFERROR(jauna_bil(D406,F406,J406,B406,L406),"Kluda!")</f>
        <v>7329</v>
      </c>
    </row>
    <row r="407" spans="1:13" x14ac:dyDescent="0.25">
      <c r="A407" s="12">
        <v>34451</v>
      </c>
      <c r="B407" s="13">
        <v>0</v>
      </c>
      <c r="C407" s="12"/>
      <c r="D407" s="13">
        <v>8234</v>
      </c>
      <c r="E407" s="12">
        <v>2</v>
      </c>
      <c r="F407" s="13" cm="1">
        <f t="array" ref="F407">IFERROR(atlaide(E407,B407),"Kluda!")</f>
        <v>0</v>
      </c>
      <c r="G407" s="13"/>
      <c r="H407" s="12">
        <v>9</v>
      </c>
      <c r="I407" s="12"/>
      <c r="J407" s="13" cm="1">
        <f t="array" ref="J407">palidzibas_d(H407,I407)</f>
        <v>0</v>
      </c>
      <c r="K407" s="13">
        <f>IFERROR(('Invoice Data'!$B407+'Invoice Data'!$D407-'Invoice Data'!$F407-'Invoice Data'!$J407+'Invoice Data'!$G407),"Kluda!")</f>
        <v>8234</v>
      </c>
      <c r="L407" s="13">
        <v>0</v>
      </c>
      <c r="M407" s="14" cm="1">
        <f t="array" ref="M407">IFERROR(jauna_bil(D407,F407,J407,B407,L407),"Kluda!")</f>
        <v>8234</v>
      </c>
    </row>
    <row r="408" spans="1:13" x14ac:dyDescent="0.25">
      <c r="A408" s="12">
        <v>34460</v>
      </c>
      <c r="B408" s="13">
        <v>0</v>
      </c>
      <c r="C408" s="12"/>
      <c r="D408" s="13">
        <v>4396</v>
      </c>
      <c r="E408" s="12">
        <v>1</v>
      </c>
      <c r="F408" s="13" cm="1">
        <f t="array" ref="F408">IFERROR(atlaide(E408,B408),"Kluda!")</f>
        <v>0</v>
      </c>
      <c r="G408" s="13"/>
      <c r="H408" s="12">
        <v>0</v>
      </c>
      <c r="I408" s="12"/>
      <c r="J408" s="13" cm="1">
        <f t="array" ref="J408">palidzibas_d(H408,I408)</f>
        <v>0</v>
      </c>
      <c r="K408" s="13">
        <f>IFERROR(('Invoice Data'!$B408+'Invoice Data'!$D408-'Invoice Data'!$F408-'Invoice Data'!$J408+'Invoice Data'!$G408),"Kluda!")</f>
        <v>4396</v>
      </c>
      <c r="L408" s="13">
        <v>0</v>
      </c>
      <c r="M408" s="14" cm="1">
        <f t="array" ref="M408">IFERROR(jauna_bil(D408,F408,J408,B408,L408),"Kluda!")</f>
        <v>4396</v>
      </c>
    </row>
    <row r="409" spans="1:13" x14ac:dyDescent="0.25">
      <c r="A409" s="12">
        <v>34479</v>
      </c>
      <c r="B409" s="13">
        <v>0</v>
      </c>
      <c r="C409" s="12"/>
      <c r="D409" s="13">
        <v>4749</v>
      </c>
      <c r="E409" s="12">
        <v>1</v>
      </c>
      <c r="F409" s="13" cm="1">
        <f t="array" ref="F409">IFERROR(atlaide(E409,B409),"Kluda!")</f>
        <v>0</v>
      </c>
      <c r="G409" s="13"/>
      <c r="H409" s="12">
        <v>9</v>
      </c>
      <c r="I409" s="12"/>
      <c r="J409" s="13" cm="1">
        <f t="array" ref="J409">palidzibas_d(H409,I409)</f>
        <v>0</v>
      </c>
      <c r="K409" s="13">
        <f>IFERROR(('Invoice Data'!$B409+'Invoice Data'!$D409-'Invoice Data'!$F409-'Invoice Data'!$J409+'Invoice Data'!$G409),"Kluda!")</f>
        <v>4749</v>
      </c>
      <c r="L409" s="13">
        <v>0</v>
      </c>
      <c r="M409" s="14" cm="1">
        <f t="array" ref="M409">IFERROR(jauna_bil(D409,F409,J409,B409,L409),"Kluda!")</f>
        <v>4749</v>
      </c>
    </row>
    <row r="410" spans="1:13" x14ac:dyDescent="0.25">
      <c r="A410" s="12">
        <v>34488</v>
      </c>
      <c r="B410" s="13">
        <v>0</v>
      </c>
      <c r="C410" s="12"/>
      <c r="D410" s="13">
        <v>4056</v>
      </c>
      <c r="E410" s="12">
        <v>1</v>
      </c>
      <c r="F410" s="13" cm="1">
        <f t="array" ref="F410">IFERROR(atlaide(E410,B410),"Kluda!")</f>
        <v>0</v>
      </c>
      <c r="G410" s="13"/>
      <c r="H410" s="12">
        <v>8</v>
      </c>
      <c r="I410" s="12"/>
      <c r="J410" s="13" cm="1">
        <f t="array" ref="J410">palidzibas_d(H410,I410)</f>
        <v>0</v>
      </c>
      <c r="K410" s="13">
        <f>IFERROR(('Invoice Data'!$B410+'Invoice Data'!$D410-'Invoice Data'!$F410-'Invoice Data'!$J410+'Invoice Data'!$G410),"Kluda!")</f>
        <v>4056</v>
      </c>
      <c r="L410" s="13">
        <v>0</v>
      </c>
      <c r="M410" s="14" cm="1">
        <f t="array" ref="M410">IFERROR(jauna_bil(D410,F410,J410,B410,L410),"Kluda!")</f>
        <v>4056</v>
      </c>
    </row>
    <row r="411" spans="1:13" x14ac:dyDescent="0.25">
      <c r="A411" s="12">
        <v>34497</v>
      </c>
      <c r="B411" s="13">
        <v>0</v>
      </c>
      <c r="C411" s="12"/>
      <c r="D411" s="13">
        <v>4704</v>
      </c>
      <c r="E411" s="12">
        <v>1</v>
      </c>
      <c r="F411" s="13" cm="1">
        <f t="array" ref="F411">IFERROR(atlaide(E411,B411),"Kluda!")</f>
        <v>0</v>
      </c>
      <c r="G411" s="13"/>
      <c r="H411" s="12">
        <v>13</v>
      </c>
      <c r="I411" s="12"/>
      <c r="J411" s="13" cm="1">
        <f t="array" ref="J411">palidzibas_d(H411,I411)</f>
        <v>0</v>
      </c>
      <c r="K411" s="13">
        <f>IFERROR(('Invoice Data'!$B411+'Invoice Data'!$D411-'Invoice Data'!$F411-'Invoice Data'!$J411+'Invoice Data'!$G411),"Kluda!")</f>
        <v>4704</v>
      </c>
      <c r="L411" s="13">
        <v>0</v>
      </c>
      <c r="M411" s="14" cm="1">
        <f t="array" ref="M411">IFERROR(jauna_bil(D411,F411,J411,B411,L411),"Kluda!")</f>
        <v>4704</v>
      </c>
    </row>
    <row r="412" spans="1:13" x14ac:dyDescent="0.25">
      <c r="A412" s="12">
        <v>34503</v>
      </c>
      <c r="B412" s="13">
        <v>0</v>
      </c>
      <c r="C412" s="12"/>
      <c r="D412" s="13">
        <v>5254</v>
      </c>
      <c r="E412" s="12">
        <v>1</v>
      </c>
      <c r="F412" s="13" cm="1">
        <f t="array" ref="F412">IFERROR(atlaide(E412,B412),"Kluda!")</f>
        <v>0</v>
      </c>
      <c r="G412" s="13"/>
      <c r="H412" s="12">
        <v>11</v>
      </c>
      <c r="I412" s="12"/>
      <c r="J412" s="13" cm="1">
        <f t="array" ref="J412">palidzibas_d(H412,I412)</f>
        <v>0</v>
      </c>
      <c r="K412" s="13">
        <f>IFERROR(('Invoice Data'!$B412+'Invoice Data'!$D412-'Invoice Data'!$F412-'Invoice Data'!$J412+'Invoice Data'!$G412),"Kluda!")</f>
        <v>5254</v>
      </c>
      <c r="L412" s="13">
        <v>0</v>
      </c>
      <c r="M412" s="14" cm="1">
        <f t="array" ref="M412">IFERROR(jauna_bil(D412,F412,J412,B412,L412),"Kluda!")</f>
        <v>5254</v>
      </c>
    </row>
    <row r="413" spans="1:13" x14ac:dyDescent="0.25">
      <c r="A413" s="12">
        <v>34512</v>
      </c>
      <c r="B413" s="13">
        <v>0</v>
      </c>
      <c r="C413" s="12"/>
      <c r="D413" s="13">
        <v>8648</v>
      </c>
      <c r="E413" s="12">
        <v>2</v>
      </c>
      <c r="F413" s="13" cm="1">
        <f t="array" ref="F413">IFERROR(atlaide(E413,B413),"Kluda!")</f>
        <v>0</v>
      </c>
      <c r="G413" s="13"/>
      <c r="H413" s="12">
        <v>7</v>
      </c>
      <c r="I413" s="12"/>
      <c r="J413" s="13" cm="1">
        <f t="array" ref="J413">palidzibas_d(H413,I413)</f>
        <v>0</v>
      </c>
      <c r="K413" s="13">
        <f>IFERROR(('Invoice Data'!$B413+'Invoice Data'!$D413-'Invoice Data'!$F413-'Invoice Data'!$J413+'Invoice Data'!$G413),"Kluda!")</f>
        <v>8648</v>
      </c>
      <c r="L413" s="13">
        <v>0</v>
      </c>
      <c r="M413" s="14" cm="1">
        <f t="array" ref="M413">IFERROR(jauna_bil(D413,F413,J413,B413,L413),"Kluda!")</f>
        <v>8648</v>
      </c>
    </row>
    <row r="414" spans="1:13" x14ac:dyDescent="0.25">
      <c r="A414" s="12">
        <v>34521</v>
      </c>
      <c r="B414" s="13">
        <v>0</v>
      </c>
      <c r="C414" s="12"/>
      <c r="D414" s="13">
        <v>4779</v>
      </c>
      <c r="E414" s="12">
        <v>1</v>
      </c>
      <c r="F414" s="13" cm="1">
        <f t="array" ref="F414">IFERROR(atlaide(E414,B414),"Kluda!")</f>
        <v>0</v>
      </c>
      <c r="G414" s="13"/>
      <c r="H414" s="12">
        <v>3</v>
      </c>
      <c r="I414" s="12"/>
      <c r="J414" s="13" cm="1">
        <f t="array" ref="J414">palidzibas_d(H414,I414)</f>
        <v>0</v>
      </c>
      <c r="K414" s="13">
        <f>IFERROR(('Invoice Data'!$B414+'Invoice Data'!$D414-'Invoice Data'!$F414-'Invoice Data'!$J414+'Invoice Data'!$G414),"Kluda!")</f>
        <v>4779</v>
      </c>
      <c r="L414" s="13">
        <v>0</v>
      </c>
      <c r="M414" s="14" cm="1">
        <f t="array" ref="M414">IFERROR(jauna_bil(D414,F414,J414,B414,L414),"Kluda!")</f>
        <v>4779</v>
      </c>
    </row>
    <row r="415" spans="1:13" x14ac:dyDescent="0.25">
      <c r="A415" s="12">
        <v>34530</v>
      </c>
      <c r="B415" s="13">
        <v>0</v>
      </c>
      <c r="C415" s="12"/>
      <c r="D415" s="13">
        <v>6514</v>
      </c>
      <c r="E415" s="12">
        <v>2</v>
      </c>
      <c r="F415" s="13" cm="1">
        <f t="array" ref="F415">IFERROR(atlaide(E415,B415),"Kluda!")</f>
        <v>0</v>
      </c>
      <c r="G415" s="13"/>
      <c r="H415" s="12">
        <v>2</v>
      </c>
      <c r="I415" s="12"/>
      <c r="J415" s="13" cm="1">
        <f t="array" ref="J415">palidzibas_d(H415,I415)</f>
        <v>0</v>
      </c>
      <c r="K415" s="13">
        <f>IFERROR(('Invoice Data'!$B415+'Invoice Data'!$D415-'Invoice Data'!$F415-'Invoice Data'!$J415+'Invoice Data'!$G415),"Kluda!")</f>
        <v>6514</v>
      </c>
      <c r="L415" s="13">
        <v>0</v>
      </c>
      <c r="M415" s="14" cm="1">
        <f t="array" ref="M415">IFERROR(jauna_bil(D415,F415,J415,B415,L415),"Kluda!")</f>
        <v>6514</v>
      </c>
    </row>
    <row r="416" spans="1:13" x14ac:dyDescent="0.25">
      <c r="A416" s="12">
        <v>34549</v>
      </c>
      <c r="B416" s="13">
        <v>0</v>
      </c>
      <c r="C416" s="12"/>
      <c r="D416" s="13">
        <v>4752</v>
      </c>
      <c r="E416" s="12">
        <v>1</v>
      </c>
      <c r="F416" s="13" cm="1">
        <f t="array" ref="F416">IFERROR(atlaide(E416,B416),"Kluda!")</f>
        <v>0</v>
      </c>
      <c r="G416" s="13"/>
      <c r="H416" s="12">
        <v>1</v>
      </c>
      <c r="I416" s="12"/>
      <c r="J416" s="13" cm="1">
        <f t="array" ref="J416">palidzibas_d(H416,I416)</f>
        <v>0</v>
      </c>
      <c r="K416" s="13">
        <f>IFERROR(('Invoice Data'!$B416+'Invoice Data'!$D416-'Invoice Data'!$F416-'Invoice Data'!$J416+'Invoice Data'!$G416),"Kluda!")</f>
        <v>4752</v>
      </c>
      <c r="L416" s="13">
        <v>0</v>
      </c>
      <c r="M416" s="14" cm="1">
        <f t="array" ref="M416">IFERROR(jauna_bil(D416,F416,J416,B416,L416),"Kluda!")</f>
        <v>4752</v>
      </c>
    </row>
    <row r="417" spans="1:13" x14ac:dyDescent="0.25">
      <c r="A417" s="12">
        <v>34558</v>
      </c>
      <c r="B417" s="13">
        <v>0</v>
      </c>
      <c r="C417" s="12"/>
      <c r="D417" s="13">
        <v>5190</v>
      </c>
      <c r="E417" s="12">
        <v>1</v>
      </c>
      <c r="F417" s="13" cm="1">
        <f t="array" ref="F417">IFERROR(atlaide(E417,B417),"Kluda!")</f>
        <v>0</v>
      </c>
      <c r="G417" s="13"/>
      <c r="H417" s="12">
        <v>16</v>
      </c>
      <c r="I417" s="12"/>
      <c r="J417" s="13" cm="1">
        <f t="array" ref="J417">palidzibas_d(H417,I417)</f>
        <v>0</v>
      </c>
      <c r="K417" s="13">
        <f>IFERROR(('Invoice Data'!$B417+'Invoice Data'!$D417-'Invoice Data'!$F417-'Invoice Data'!$J417+'Invoice Data'!$G417),"Kluda!")</f>
        <v>5190</v>
      </c>
      <c r="L417" s="13">
        <v>0</v>
      </c>
      <c r="M417" s="14" cm="1">
        <f t="array" ref="M417">IFERROR(jauna_bil(D417,F417,J417,B417,L417),"Kluda!")</f>
        <v>5190</v>
      </c>
    </row>
    <row r="418" spans="1:13" x14ac:dyDescent="0.25">
      <c r="A418" s="12">
        <v>34567</v>
      </c>
      <c r="B418" s="13">
        <v>0</v>
      </c>
      <c r="C418" s="12"/>
      <c r="D418" s="13">
        <v>5181</v>
      </c>
      <c r="E418" s="12">
        <v>1</v>
      </c>
      <c r="F418" s="13" cm="1">
        <f t="array" ref="F418">IFERROR(atlaide(E418,B418),"Kluda!")</f>
        <v>0</v>
      </c>
      <c r="G418" s="13"/>
      <c r="H418" s="12">
        <v>2</v>
      </c>
      <c r="I418" s="12"/>
      <c r="J418" s="13" cm="1">
        <f t="array" ref="J418">palidzibas_d(H418,I418)</f>
        <v>0</v>
      </c>
      <c r="K418" s="13">
        <f>IFERROR(('Invoice Data'!$B418+'Invoice Data'!$D418-'Invoice Data'!$F418-'Invoice Data'!$J418+'Invoice Data'!$G418),"Kluda!")</f>
        <v>5181</v>
      </c>
      <c r="L418" s="13">
        <v>0</v>
      </c>
      <c r="M418" s="14" cm="1">
        <f t="array" ref="M418">IFERROR(jauna_bil(D418,F418,J418,B418,L418),"Kluda!")</f>
        <v>5181</v>
      </c>
    </row>
    <row r="419" spans="1:13" x14ac:dyDescent="0.25">
      <c r="A419" s="12">
        <v>34576</v>
      </c>
      <c r="B419" s="13">
        <v>0</v>
      </c>
      <c r="C419" s="12"/>
      <c r="D419" s="13">
        <v>9620</v>
      </c>
      <c r="E419" s="12">
        <v>2</v>
      </c>
      <c r="F419" s="13" cm="1">
        <f t="array" ref="F419">IFERROR(atlaide(E419,B419),"Kluda!")</f>
        <v>0</v>
      </c>
      <c r="G419" s="13"/>
      <c r="H419" s="12">
        <v>12</v>
      </c>
      <c r="I419" s="12"/>
      <c r="J419" s="13" cm="1">
        <f t="array" ref="J419">palidzibas_d(H419,I419)</f>
        <v>0</v>
      </c>
      <c r="K419" s="13">
        <f>IFERROR(('Invoice Data'!$B419+'Invoice Data'!$D419-'Invoice Data'!$F419-'Invoice Data'!$J419+'Invoice Data'!$G419),"Kluda!")</f>
        <v>9620</v>
      </c>
      <c r="L419" s="13">
        <v>0</v>
      </c>
      <c r="M419" s="14" cm="1">
        <f t="array" ref="M419">IFERROR(jauna_bil(D419,F419,J419,B419,L419),"Kluda!")</f>
        <v>9620</v>
      </c>
    </row>
    <row r="420" spans="1:13" x14ac:dyDescent="0.25">
      <c r="A420" s="12">
        <v>34585</v>
      </c>
      <c r="B420" s="13">
        <v>0</v>
      </c>
      <c r="C420" s="12"/>
      <c r="D420" s="13">
        <v>6503</v>
      </c>
      <c r="E420" s="12">
        <v>2</v>
      </c>
      <c r="F420" s="13" cm="1">
        <f t="array" ref="F420">IFERROR(atlaide(E420,B420),"Kluda!")</f>
        <v>0</v>
      </c>
      <c r="G420" s="13"/>
      <c r="H420" s="12">
        <v>14</v>
      </c>
      <c r="I420" s="12"/>
      <c r="J420" s="13" cm="1">
        <f t="array" ref="J420">palidzibas_d(H420,I420)</f>
        <v>0</v>
      </c>
      <c r="K420" s="13">
        <f>IFERROR(('Invoice Data'!$B420+'Invoice Data'!$D420-'Invoice Data'!$F420-'Invoice Data'!$J420+'Invoice Data'!$G420),"Kluda!")</f>
        <v>6503</v>
      </c>
      <c r="L420" s="13">
        <v>0</v>
      </c>
      <c r="M420" s="14" cm="1">
        <f t="array" ref="M420">IFERROR(jauna_bil(D420,F420,J420,B420,L420),"Kluda!")</f>
        <v>6503</v>
      </c>
    </row>
    <row r="421" spans="1:13" x14ac:dyDescent="0.25">
      <c r="A421" s="12">
        <v>34594</v>
      </c>
      <c r="B421" s="13">
        <v>0</v>
      </c>
      <c r="C421" s="12"/>
      <c r="D421" s="13">
        <v>7454</v>
      </c>
      <c r="E421" s="12">
        <v>2</v>
      </c>
      <c r="F421" s="13" cm="1">
        <f t="array" ref="F421">IFERROR(atlaide(E421,B421),"Kluda!")</f>
        <v>0</v>
      </c>
      <c r="G421" s="13"/>
      <c r="H421" s="12">
        <v>2</v>
      </c>
      <c r="I421" s="12"/>
      <c r="J421" s="13" cm="1">
        <f t="array" ref="J421">palidzibas_d(H421,I421)</f>
        <v>0</v>
      </c>
      <c r="K421" s="13">
        <f>IFERROR(('Invoice Data'!$B421+'Invoice Data'!$D421-'Invoice Data'!$F421-'Invoice Data'!$J421+'Invoice Data'!$G421),"Kluda!")</f>
        <v>7454</v>
      </c>
      <c r="L421" s="13">
        <v>0</v>
      </c>
      <c r="M421" s="14" cm="1">
        <f t="array" ref="M421">IFERROR(jauna_bil(D421,F421,J421,B421,L421),"Kluda!")</f>
        <v>7454</v>
      </c>
    </row>
    <row r="422" spans="1:13" x14ac:dyDescent="0.25">
      <c r="A422" s="12">
        <v>34601</v>
      </c>
      <c r="B422" s="13">
        <v>0</v>
      </c>
      <c r="C422" s="12"/>
      <c r="D422" s="13">
        <v>4499</v>
      </c>
      <c r="E422" s="12">
        <v>1</v>
      </c>
      <c r="F422" s="13" cm="1">
        <f t="array" ref="F422">IFERROR(atlaide(E422,B422),"Kluda!")</f>
        <v>0</v>
      </c>
      <c r="G422" s="13"/>
      <c r="H422" s="12">
        <v>8</v>
      </c>
      <c r="I422" s="12"/>
      <c r="J422" s="13" cm="1">
        <f t="array" ref="J422">palidzibas_d(H422,I422)</f>
        <v>0</v>
      </c>
      <c r="K422" s="13">
        <f>IFERROR(('Invoice Data'!$B422+'Invoice Data'!$D422-'Invoice Data'!$F422-'Invoice Data'!$J422+'Invoice Data'!$G422),"Kluda!")</f>
        <v>4499</v>
      </c>
      <c r="L422" s="13">
        <v>0</v>
      </c>
      <c r="M422" s="14" cm="1">
        <f t="array" ref="M422">IFERROR(jauna_bil(D422,F422,J422,B422,L422),"Kluda!")</f>
        <v>4499</v>
      </c>
    </row>
    <row r="423" spans="1:13" x14ac:dyDescent="0.25">
      <c r="A423" s="12">
        <v>34610</v>
      </c>
      <c r="B423" s="13">
        <v>1860</v>
      </c>
      <c r="C423" s="12"/>
      <c r="D423" s="13">
        <v>3859</v>
      </c>
      <c r="E423" s="12">
        <v>1</v>
      </c>
      <c r="F423" s="13" cm="1">
        <f t="array" ref="F423">IFERROR(atlaide(E423,B423),"Kluda!")</f>
        <v>55.8</v>
      </c>
      <c r="G423" s="13"/>
      <c r="H423" s="12">
        <v>10</v>
      </c>
      <c r="I423" s="12"/>
      <c r="J423" s="13" cm="1">
        <f t="array" ref="J423">palidzibas_d(H423,I423)</f>
        <v>0</v>
      </c>
      <c r="K423" s="13">
        <f>IFERROR(('Invoice Data'!$B423+'Invoice Data'!$D423-'Invoice Data'!$F423-'Invoice Data'!$J423+'Invoice Data'!$G423),"Kluda!")</f>
        <v>5663.2</v>
      </c>
      <c r="L423" s="13">
        <v>0</v>
      </c>
      <c r="M423" s="14" cm="1">
        <f t="array" ref="M423">IFERROR(jauna_bil(D423,F423,J423,B423,L423),"Kluda!")</f>
        <v>1943.1999999999998</v>
      </c>
    </row>
    <row r="424" spans="1:13" x14ac:dyDescent="0.25">
      <c r="A424" s="12">
        <v>34629</v>
      </c>
      <c r="B424" s="13">
        <v>0</v>
      </c>
      <c r="C424" s="12"/>
      <c r="D424" s="13">
        <v>5225</v>
      </c>
      <c r="E424" s="12">
        <v>1</v>
      </c>
      <c r="F424" s="13" cm="1">
        <f t="array" ref="F424">IFERROR(atlaide(E424,B424),"Kluda!")</f>
        <v>0</v>
      </c>
      <c r="G424" s="13"/>
      <c r="H424" s="12">
        <v>8</v>
      </c>
      <c r="I424" s="12"/>
      <c r="J424" s="13" cm="1">
        <f t="array" ref="J424">palidzibas_d(H424,I424)</f>
        <v>0</v>
      </c>
      <c r="K424" s="13">
        <f>IFERROR(('Invoice Data'!$B424+'Invoice Data'!$D424-'Invoice Data'!$F424-'Invoice Data'!$J424+'Invoice Data'!$G424),"Kluda!")</f>
        <v>5225</v>
      </c>
      <c r="L424" s="13">
        <v>0</v>
      </c>
      <c r="M424" s="14" cm="1">
        <f t="array" ref="M424">IFERROR(jauna_bil(D424,F424,J424,B424,L424),"Kluda!")</f>
        <v>5225</v>
      </c>
    </row>
    <row r="425" spans="1:13" x14ac:dyDescent="0.25">
      <c r="A425" s="12">
        <v>34638</v>
      </c>
      <c r="B425" s="13">
        <v>0</v>
      </c>
      <c r="C425" s="12"/>
      <c r="D425" s="13">
        <v>3637</v>
      </c>
      <c r="E425" s="12">
        <v>1</v>
      </c>
      <c r="F425" s="13" cm="1">
        <f t="array" ref="F425">IFERROR(atlaide(E425,B425),"Kluda!")</f>
        <v>0</v>
      </c>
      <c r="G425" s="13"/>
      <c r="H425" s="12">
        <v>16</v>
      </c>
      <c r="I425" s="12"/>
      <c r="J425" s="13" cm="1">
        <f t="array" ref="J425">palidzibas_d(H425,I425)</f>
        <v>0</v>
      </c>
      <c r="K425" s="13">
        <f>IFERROR(('Invoice Data'!$B425+'Invoice Data'!$D425-'Invoice Data'!$F425-'Invoice Data'!$J425+'Invoice Data'!$G425),"Kluda!")</f>
        <v>3637</v>
      </c>
      <c r="L425" s="13">
        <v>0</v>
      </c>
      <c r="M425" s="14" cm="1">
        <f t="array" ref="M425">IFERROR(jauna_bil(D425,F425,J425,B425,L425),"Kluda!")</f>
        <v>3637</v>
      </c>
    </row>
    <row r="426" spans="1:13" x14ac:dyDescent="0.25">
      <c r="A426" s="12">
        <v>34647</v>
      </c>
      <c r="B426" s="13">
        <v>0</v>
      </c>
      <c r="C426" s="12"/>
      <c r="D426" s="13">
        <v>8721</v>
      </c>
      <c r="E426" s="12">
        <v>2</v>
      </c>
      <c r="F426" s="13" cm="1">
        <f t="array" ref="F426">IFERROR(atlaide(E426,B426),"Kluda!")</f>
        <v>0</v>
      </c>
      <c r="G426" s="13"/>
      <c r="H426" s="12">
        <v>13</v>
      </c>
      <c r="I426" s="12"/>
      <c r="J426" s="13" cm="1">
        <f t="array" ref="J426">palidzibas_d(H426,I426)</f>
        <v>0</v>
      </c>
      <c r="K426" s="13">
        <f>IFERROR(('Invoice Data'!$B426+'Invoice Data'!$D426-'Invoice Data'!$F426-'Invoice Data'!$J426+'Invoice Data'!$G426),"Kluda!")</f>
        <v>8721</v>
      </c>
      <c r="L426" s="13">
        <v>0</v>
      </c>
      <c r="M426" s="14" cm="1">
        <f t="array" ref="M426">IFERROR(jauna_bil(D426,F426,J426,B426,L426),"Kluda!")</f>
        <v>8721</v>
      </c>
    </row>
    <row r="427" spans="1:13" x14ac:dyDescent="0.25">
      <c r="A427" s="12">
        <v>34656</v>
      </c>
      <c r="B427" s="13">
        <v>0</v>
      </c>
      <c r="C427" s="12"/>
      <c r="D427" s="13">
        <v>4679</v>
      </c>
      <c r="E427" s="12">
        <v>1</v>
      </c>
      <c r="F427" s="13" cm="1">
        <f t="array" ref="F427">IFERROR(atlaide(E427,B427),"Kluda!")</f>
        <v>0</v>
      </c>
      <c r="G427" s="13"/>
      <c r="H427" s="12">
        <v>5</v>
      </c>
      <c r="I427" s="12"/>
      <c r="J427" s="13" cm="1">
        <f t="array" ref="J427">palidzibas_d(H427,I427)</f>
        <v>0</v>
      </c>
      <c r="K427" s="13">
        <f>IFERROR(('Invoice Data'!$B427+'Invoice Data'!$D427-'Invoice Data'!$F427-'Invoice Data'!$J427+'Invoice Data'!$G427),"Kluda!")</f>
        <v>4679</v>
      </c>
      <c r="L427" s="13">
        <v>0</v>
      </c>
      <c r="M427" s="14" cm="1">
        <f t="array" ref="M427">IFERROR(jauna_bil(D427,F427,J427,B427,L427),"Kluda!")</f>
        <v>4679</v>
      </c>
    </row>
    <row r="428" spans="1:13" x14ac:dyDescent="0.25">
      <c r="A428" s="12">
        <v>34665</v>
      </c>
      <c r="B428" s="13">
        <v>0</v>
      </c>
      <c r="C428" s="12"/>
      <c r="D428" s="13">
        <v>9026</v>
      </c>
      <c r="E428" s="12">
        <v>2</v>
      </c>
      <c r="F428" s="13" cm="1">
        <f t="array" ref="F428">IFERROR(atlaide(E428,B428),"Kluda!")</f>
        <v>0</v>
      </c>
      <c r="G428" s="13"/>
      <c r="H428" s="12">
        <v>5</v>
      </c>
      <c r="I428" s="12"/>
      <c r="J428" s="13" cm="1">
        <f t="array" ref="J428">palidzibas_d(H428,I428)</f>
        <v>0</v>
      </c>
      <c r="K428" s="13">
        <f>IFERROR(('Invoice Data'!$B428+'Invoice Data'!$D428-'Invoice Data'!$F428-'Invoice Data'!$J428+'Invoice Data'!$G428),"Kluda!")</f>
        <v>9026</v>
      </c>
      <c r="L428" s="13">
        <v>0</v>
      </c>
      <c r="M428" s="14" cm="1">
        <f t="array" ref="M428">IFERROR(jauna_bil(D428,F428,J428,B428,L428),"Kluda!")</f>
        <v>9026</v>
      </c>
    </row>
    <row r="429" spans="1:13" x14ac:dyDescent="0.25">
      <c r="A429" s="12">
        <v>34674</v>
      </c>
      <c r="B429" s="13">
        <v>0</v>
      </c>
      <c r="C429" s="12"/>
      <c r="D429" s="13">
        <v>4938</v>
      </c>
      <c r="E429" s="12">
        <v>1</v>
      </c>
      <c r="F429" s="13" cm="1">
        <f t="array" ref="F429">IFERROR(atlaide(E429,B429),"Kluda!")</f>
        <v>0</v>
      </c>
      <c r="G429" s="13"/>
      <c r="H429" s="12">
        <v>5</v>
      </c>
      <c r="I429" s="12"/>
      <c r="J429" s="13" cm="1">
        <f t="array" ref="J429">palidzibas_d(H429,I429)</f>
        <v>0</v>
      </c>
      <c r="K429" s="13">
        <f>IFERROR(('Invoice Data'!$B429+'Invoice Data'!$D429-'Invoice Data'!$F429-'Invoice Data'!$J429+'Invoice Data'!$G429),"Kluda!")</f>
        <v>4938</v>
      </c>
      <c r="L429" s="13">
        <v>0</v>
      </c>
      <c r="M429" s="14" cm="1">
        <f t="array" ref="M429">IFERROR(jauna_bil(D429,F429,J429,B429,L429),"Kluda!")</f>
        <v>4938</v>
      </c>
    </row>
    <row r="430" spans="1:13" x14ac:dyDescent="0.25">
      <c r="A430" s="12">
        <v>34683</v>
      </c>
      <c r="B430" s="13">
        <v>0</v>
      </c>
      <c r="C430" s="12"/>
      <c r="D430" s="13">
        <v>4443</v>
      </c>
      <c r="E430" s="12">
        <v>1</v>
      </c>
      <c r="F430" s="13" cm="1">
        <f t="array" ref="F430">IFERROR(atlaide(E430,B430),"Kluda!")</f>
        <v>0</v>
      </c>
      <c r="G430" s="13"/>
      <c r="H430" s="12">
        <v>12</v>
      </c>
      <c r="I430" s="12"/>
      <c r="J430" s="13" cm="1">
        <f t="array" ref="J430">palidzibas_d(H430,I430)</f>
        <v>0</v>
      </c>
      <c r="K430" s="13">
        <f>IFERROR(('Invoice Data'!$B430+'Invoice Data'!$D430-'Invoice Data'!$F430-'Invoice Data'!$J430+'Invoice Data'!$G430),"Kluda!")</f>
        <v>4443</v>
      </c>
      <c r="L430" s="13">
        <v>0</v>
      </c>
      <c r="M430" s="14" cm="1">
        <f t="array" ref="M430">IFERROR(jauna_bil(D430,F430,J430,B430,L430),"Kluda!")</f>
        <v>4443</v>
      </c>
    </row>
    <row r="431" spans="1:13" x14ac:dyDescent="0.25">
      <c r="A431" s="12">
        <v>34692</v>
      </c>
      <c r="B431" s="13">
        <v>0</v>
      </c>
      <c r="C431" s="12"/>
      <c r="D431" s="13">
        <v>5206</v>
      </c>
      <c r="E431" s="12">
        <v>1</v>
      </c>
      <c r="F431" s="13" cm="1">
        <f t="array" ref="F431">IFERROR(atlaide(E431,B431),"Kluda!")</f>
        <v>0</v>
      </c>
      <c r="G431" s="13"/>
      <c r="H431" s="12">
        <v>13</v>
      </c>
      <c r="I431" s="12"/>
      <c r="J431" s="13" cm="1">
        <f t="array" ref="J431">palidzibas_d(H431,I431)</f>
        <v>0</v>
      </c>
      <c r="K431" s="13">
        <f>IFERROR(('Invoice Data'!$B431+'Invoice Data'!$D431-'Invoice Data'!$F431-'Invoice Data'!$J431+'Invoice Data'!$G431),"Kluda!")</f>
        <v>5206</v>
      </c>
      <c r="L431" s="13">
        <v>0</v>
      </c>
      <c r="M431" s="14" cm="1">
        <f t="array" ref="M431">IFERROR(jauna_bil(D431,F431,J431,B431,L431),"Kluda!")</f>
        <v>5206</v>
      </c>
    </row>
    <row r="432" spans="1:13" x14ac:dyDescent="0.25">
      <c r="A432" s="12">
        <v>34709</v>
      </c>
      <c r="B432" s="13">
        <v>0</v>
      </c>
      <c r="C432" s="12"/>
      <c r="D432" s="13">
        <v>8678</v>
      </c>
      <c r="E432" s="12">
        <v>2</v>
      </c>
      <c r="F432" s="13" cm="1">
        <f t="array" ref="F432">IFERROR(atlaide(E432,B432),"Kluda!")</f>
        <v>0</v>
      </c>
      <c r="G432" s="13"/>
      <c r="H432" s="12">
        <v>10</v>
      </c>
      <c r="I432" s="12"/>
      <c r="J432" s="13" cm="1">
        <f t="array" ref="J432">palidzibas_d(H432,I432)</f>
        <v>0</v>
      </c>
      <c r="K432" s="13">
        <f>IFERROR(('Invoice Data'!$B432+'Invoice Data'!$D432-'Invoice Data'!$F432-'Invoice Data'!$J432+'Invoice Data'!$G432),"Kluda!")</f>
        <v>8678</v>
      </c>
      <c r="L432" s="13">
        <v>0</v>
      </c>
      <c r="M432" s="14" cm="1">
        <f t="array" ref="M432">IFERROR(jauna_bil(D432,F432,J432,B432,L432),"Kluda!")</f>
        <v>8678</v>
      </c>
    </row>
    <row r="433" spans="1:13" x14ac:dyDescent="0.25">
      <c r="A433" s="12">
        <v>34718</v>
      </c>
      <c r="B433" s="13">
        <v>0</v>
      </c>
      <c r="C433" s="12"/>
      <c r="D433" s="13">
        <v>5084</v>
      </c>
      <c r="E433" s="12">
        <v>1</v>
      </c>
      <c r="F433" s="13" cm="1">
        <f t="array" ref="F433">IFERROR(atlaide(E433,B433),"Kluda!")</f>
        <v>0</v>
      </c>
      <c r="G433" s="13"/>
      <c r="H433" s="12">
        <v>15</v>
      </c>
      <c r="I433" s="12"/>
      <c r="J433" s="13" cm="1">
        <f t="array" ref="J433">palidzibas_d(H433,I433)</f>
        <v>0</v>
      </c>
      <c r="K433" s="13">
        <f>IFERROR(('Invoice Data'!$B433+'Invoice Data'!$D433-'Invoice Data'!$F433-'Invoice Data'!$J433+'Invoice Data'!$G433),"Kluda!")</f>
        <v>5084</v>
      </c>
      <c r="L433" s="13">
        <v>0</v>
      </c>
      <c r="M433" s="14" cm="1">
        <f t="array" ref="M433">IFERROR(jauna_bil(D433,F433,J433,B433,L433),"Kluda!")</f>
        <v>5084</v>
      </c>
    </row>
    <row r="434" spans="1:13" x14ac:dyDescent="0.25">
      <c r="A434" s="12">
        <v>34727</v>
      </c>
      <c r="B434" s="13">
        <v>0</v>
      </c>
      <c r="C434" s="12"/>
      <c r="D434" s="13">
        <v>7677</v>
      </c>
      <c r="E434" s="12">
        <v>2</v>
      </c>
      <c r="F434" s="13" cm="1">
        <f t="array" ref="F434">IFERROR(atlaide(E434,B434),"Kluda!")</f>
        <v>0</v>
      </c>
      <c r="G434" s="13"/>
      <c r="H434" s="12">
        <v>10</v>
      </c>
      <c r="I434" s="12"/>
      <c r="J434" s="13" cm="1">
        <f t="array" ref="J434">palidzibas_d(H434,I434)</f>
        <v>0</v>
      </c>
      <c r="K434" s="13">
        <f>IFERROR(('Invoice Data'!$B434+'Invoice Data'!$D434-'Invoice Data'!$F434-'Invoice Data'!$J434+'Invoice Data'!$G434),"Kluda!")</f>
        <v>7677</v>
      </c>
      <c r="L434" s="13">
        <v>0</v>
      </c>
      <c r="M434" s="14" cm="1">
        <f t="array" ref="M434">IFERROR(jauna_bil(D434,F434,J434,B434,L434),"Kluda!")</f>
        <v>7677</v>
      </c>
    </row>
    <row r="435" spans="1:13" x14ac:dyDescent="0.25">
      <c r="A435" s="12">
        <v>34736</v>
      </c>
      <c r="B435" s="13">
        <v>0</v>
      </c>
      <c r="C435" s="12"/>
      <c r="D435" s="13">
        <v>3361</v>
      </c>
      <c r="E435" s="12">
        <v>1</v>
      </c>
      <c r="F435" s="13" cm="1">
        <f t="array" ref="F435">IFERROR(atlaide(E435,B435),"Kluda!")</f>
        <v>0</v>
      </c>
      <c r="G435" s="13"/>
      <c r="H435" s="12">
        <v>0</v>
      </c>
      <c r="I435" s="12" t="b">
        <v>1</v>
      </c>
      <c r="J435" s="13" cm="1">
        <f t="array" ref="J435">palidzibas_d(H435,I435)</f>
        <v>0</v>
      </c>
      <c r="K435" s="13">
        <f>IFERROR(('Invoice Data'!$B435+'Invoice Data'!$D435-'Invoice Data'!$F435-'Invoice Data'!$J435+'Invoice Data'!$G435),"Kluda!")</f>
        <v>3361</v>
      </c>
      <c r="L435" s="13">
        <v>0</v>
      </c>
      <c r="M435" s="14" cm="1">
        <f t="array" ref="M435">IFERROR(jauna_bil(D435,F435,J435,B435,L435),"Kluda!")</f>
        <v>3361</v>
      </c>
    </row>
    <row r="436" spans="1:13" x14ac:dyDescent="0.25">
      <c r="A436" s="12">
        <v>34745</v>
      </c>
      <c r="B436" s="13">
        <v>0</v>
      </c>
      <c r="C436" s="12"/>
      <c r="D436" s="13">
        <v>8692</v>
      </c>
      <c r="E436" s="12">
        <v>2</v>
      </c>
      <c r="F436" s="13" cm="1">
        <f t="array" ref="F436">IFERROR(atlaide(E436,B436),"Kluda!")</f>
        <v>0</v>
      </c>
      <c r="G436" s="13"/>
      <c r="H436" s="12">
        <v>1</v>
      </c>
      <c r="I436" s="12"/>
      <c r="J436" s="13" cm="1">
        <f t="array" ref="J436">palidzibas_d(H436,I436)</f>
        <v>0</v>
      </c>
      <c r="K436" s="13">
        <f>IFERROR(('Invoice Data'!$B436+'Invoice Data'!$D436-'Invoice Data'!$F436-'Invoice Data'!$J436+'Invoice Data'!$G436),"Kluda!")</f>
        <v>8692</v>
      </c>
      <c r="L436" s="13">
        <v>0</v>
      </c>
      <c r="M436" s="14" cm="1">
        <f t="array" ref="M436">IFERROR(jauna_bil(D436,F436,J436,B436,L436),"Kluda!")</f>
        <v>8692</v>
      </c>
    </row>
    <row r="437" spans="1:13" x14ac:dyDescent="0.25">
      <c r="A437" s="12">
        <v>34754</v>
      </c>
      <c r="B437" s="13">
        <v>0</v>
      </c>
      <c r="C437" s="12"/>
      <c r="D437" s="13">
        <v>3790</v>
      </c>
      <c r="E437" s="12">
        <v>1</v>
      </c>
      <c r="F437" s="13" cm="1">
        <f t="array" ref="F437">IFERROR(atlaide(E437,B437),"Kluda!")</f>
        <v>0</v>
      </c>
      <c r="G437" s="13"/>
      <c r="H437" s="12">
        <v>9</v>
      </c>
      <c r="I437" s="12"/>
      <c r="J437" s="13" cm="1">
        <f t="array" ref="J437">palidzibas_d(H437,I437)</f>
        <v>0</v>
      </c>
      <c r="K437" s="13">
        <f>IFERROR(('Invoice Data'!$B437+'Invoice Data'!$D437-'Invoice Data'!$F437-'Invoice Data'!$J437+'Invoice Data'!$G437),"Kluda!")</f>
        <v>3790</v>
      </c>
      <c r="L437" s="13">
        <v>0</v>
      </c>
      <c r="M437" s="14" cm="1">
        <f t="array" ref="M437">IFERROR(jauna_bil(D437,F437,J437,B437,L437),"Kluda!")</f>
        <v>3790</v>
      </c>
    </row>
    <row r="438" spans="1:13" x14ac:dyDescent="0.25">
      <c r="A438" s="12">
        <v>34763</v>
      </c>
      <c r="B438" s="13">
        <v>0</v>
      </c>
      <c r="C438" s="12"/>
      <c r="D438" s="13">
        <v>6390</v>
      </c>
      <c r="E438" s="12">
        <v>2</v>
      </c>
      <c r="F438" s="13" cm="1">
        <f t="array" ref="F438">IFERROR(atlaide(E438,B438),"Kluda!")</f>
        <v>0</v>
      </c>
      <c r="G438" s="13"/>
      <c r="H438" s="12">
        <v>14</v>
      </c>
      <c r="I438" s="12"/>
      <c r="J438" s="13" cm="1">
        <f t="array" ref="J438">palidzibas_d(H438,I438)</f>
        <v>0</v>
      </c>
      <c r="K438" s="13">
        <f>IFERROR(('Invoice Data'!$B438+'Invoice Data'!$D438-'Invoice Data'!$F438-'Invoice Data'!$J438+'Invoice Data'!$G438),"Kluda!")</f>
        <v>6390</v>
      </c>
      <c r="L438" s="13">
        <v>0</v>
      </c>
      <c r="M438" s="14" cm="1">
        <f t="array" ref="M438">IFERROR(jauna_bil(D438,F438,J438,B438,L438),"Kluda!")</f>
        <v>6390</v>
      </c>
    </row>
    <row r="439" spans="1:13" x14ac:dyDescent="0.25">
      <c r="A439" s="12">
        <v>34772</v>
      </c>
      <c r="B439" s="13">
        <v>0</v>
      </c>
      <c r="C439" s="12"/>
      <c r="D439" s="13">
        <v>7384</v>
      </c>
      <c r="E439" s="12">
        <v>2</v>
      </c>
      <c r="F439" s="13" cm="1">
        <f t="array" ref="F439">IFERROR(atlaide(E439,B439),"Kluda!")</f>
        <v>0</v>
      </c>
      <c r="G439" s="13"/>
      <c r="H439" s="12">
        <v>11</v>
      </c>
      <c r="I439" s="12"/>
      <c r="J439" s="13" cm="1">
        <f t="array" ref="J439">palidzibas_d(H439,I439)</f>
        <v>0</v>
      </c>
      <c r="K439" s="13">
        <f>IFERROR(('Invoice Data'!$B439+'Invoice Data'!$D439-'Invoice Data'!$F439-'Invoice Data'!$J439+'Invoice Data'!$G439),"Kluda!")</f>
        <v>7384</v>
      </c>
      <c r="L439" s="13">
        <v>0</v>
      </c>
      <c r="M439" s="14" cm="1">
        <f t="array" ref="M439">IFERROR(jauna_bil(D439,F439,J439,B439,L439),"Kluda!")</f>
        <v>7384</v>
      </c>
    </row>
    <row r="440" spans="1:13" x14ac:dyDescent="0.25">
      <c r="A440" s="12">
        <v>34781</v>
      </c>
      <c r="B440" s="13">
        <v>0</v>
      </c>
      <c r="C440" s="12"/>
      <c r="D440" s="13">
        <v>5027</v>
      </c>
      <c r="E440" s="12">
        <v>1</v>
      </c>
      <c r="F440" s="13" cm="1">
        <f t="array" ref="F440">IFERROR(atlaide(E440,B440),"Kluda!")</f>
        <v>0</v>
      </c>
      <c r="G440" s="13"/>
      <c r="H440" s="12">
        <v>16</v>
      </c>
      <c r="I440" s="12"/>
      <c r="J440" s="13" cm="1">
        <f t="array" ref="J440">palidzibas_d(H440,I440)</f>
        <v>0</v>
      </c>
      <c r="K440" s="13">
        <f>IFERROR(('Invoice Data'!$B440+'Invoice Data'!$D440-'Invoice Data'!$F440-'Invoice Data'!$J440+'Invoice Data'!$G440),"Kluda!")</f>
        <v>5027</v>
      </c>
      <c r="L440" s="13">
        <v>0</v>
      </c>
      <c r="M440" s="14" cm="1">
        <f t="array" ref="M440">IFERROR(jauna_bil(D440,F440,J440,B440,L440),"Kluda!")</f>
        <v>5027</v>
      </c>
    </row>
    <row r="441" spans="1:13" x14ac:dyDescent="0.25">
      <c r="A441" s="12">
        <v>34790</v>
      </c>
      <c r="B441" s="13">
        <v>-301</v>
      </c>
      <c r="C441" s="12"/>
      <c r="D441" s="13">
        <v>9749</v>
      </c>
      <c r="E441" s="12">
        <v>2</v>
      </c>
      <c r="F441" s="13" cm="1">
        <f t="array" ref="F441">IFERROR(atlaide(E441,B441),"Kluda!")</f>
        <v>-18.059999999999999</v>
      </c>
      <c r="G441" s="13"/>
      <c r="H441" s="12">
        <v>0</v>
      </c>
      <c r="I441" s="12"/>
      <c r="J441" s="13" cm="1">
        <f t="array" ref="J441">palidzibas_d(H441,I441)</f>
        <v>0</v>
      </c>
      <c r="K441" s="13">
        <f>IFERROR(('Invoice Data'!$B441+'Invoice Data'!$D441-'Invoice Data'!$F441-'Invoice Data'!$J441+'Invoice Data'!$G441),"Kluda!")</f>
        <v>9466.06</v>
      </c>
      <c r="L441" s="13">
        <v>0</v>
      </c>
      <c r="M441" s="14" cm="1">
        <f t="array" ref="M441">IFERROR(jauna_bil(D441,F441,J441,B441,L441),"Kluda!")</f>
        <v>10068.06</v>
      </c>
    </row>
    <row r="442" spans="1:13" x14ac:dyDescent="0.25">
      <c r="A442" s="12">
        <v>34807</v>
      </c>
      <c r="B442" s="13">
        <v>0</v>
      </c>
      <c r="C442" s="12"/>
      <c r="D442" s="13">
        <v>3443</v>
      </c>
      <c r="E442" s="12">
        <v>1</v>
      </c>
      <c r="F442" s="13" cm="1">
        <f t="array" ref="F442">IFERROR(atlaide(E442,B442),"Kluda!")</f>
        <v>0</v>
      </c>
      <c r="G442" s="13"/>
      <c r="H442" s="12">
        <v>6</v>
      </c>
      <c r="I442" s="12"/>
      <c r="J442" s="13" cm="1">
        <f t="array" ref="J442">palidzibas_d(H442,I442)</f>
        <v>0</v>
      </c>
      <c r="K442" s="13">
        <f>IFERROR(('Invoice Data'!$B442+'Invoice Data'!$D442-'Invoice Data'!$F442-'Invoice Data'!$J442+'Invoice Data'!$G442),"Kluda!")</f>
        <v>3443</v>
      </c>
      <c r="L442" s="13">
        <v>0</v>
      </c>
      <c r="M442" s="14" cm="1">
        <f t="array" ref="M442">IFERROR(jauna_bil(D442,F442,J442,B442,L442),"Kluda!")</f>
        <v>3443</v>
      </c>
    </row>
    <row r="443" spans="1:13" x14ac:dyDescent="0.25">
      <c r="A443" s="12">
        <v>34816</v>
      </c>
      <c r="B443" s="13">
        <v>0</v>
      </c>
      <c r="C443" s="12"/>
      <c r="D443" s="13">
        <v>4523</v>
      </c>
      <c r="E443" s="12">
        <v>1</v>
      </c>
      <c r="F443" s="13" cm="1">
        <f t="array" ref="F443">IFERROR(atlaide(E443,B443),"Kluda!")</f>
        <v>0</v>
      </c>
      <c r="G443" s="13"/>
      <c r="H443" s="12">
        <v>1</v>
      </c>
      <c r="I443" s="12"/>
      <c r="J443" s="13" cm="1">
        <f t="array" ref="J443">palidzibas_d(H443,I443)</f>
        <v>0</v>
      </c>
      <c r="K443" s="13">
        <f>IFERROR(('Invoice Data'!$B443+'Invoice Data'!$D443-'Invoice Data'!$F443-'Invoice Data'!$J443+'Invoice Data'!$G443),"Kluda!")</f>
        <v>4523</v>
      </c>
      <c r="L443" s="13">
        <v>0</v>
      </c>
      <c r="M443" s="14" cm="1">
        <f t="array" ref="M443">IFERROR(jauna_bil(D443,F443,J443,B443,L443),"Kluda!")</f>
        <v>4523</v>
      </c>
    </row>
    <row r="444" spans="1:13" x14ac:dyDescent="0.25">
      <c r="A444" s="12">
        <v>34825</v>
      </c>
      <c r="B444" s="13">
        <v>0</v>
      </c>
      <c r="C444" s="12"/>
      <c r="D444" s="13">
        <v>9589</v>
      </c>
      <c r="E444" s="12">
        <v>2</v>
      </c>
      <c r="F444" s="13" cm="1">
        <f t="array" ref="F444">IFERROR(atlaide(E444,B444),"Kluda!")</f>
        <v>0</v>
      </c>
      <c r="G444" s="13"/>
      <c r="H444" s="12">
        <v>8</v>
      </c>
      <c r="I444" s="12"/>
      <c r="J444" s="13" cm="1">
        <f t="array" ref="J444">palidzibas_d(H444,I444)</f>
        <v>0</v>
      </c>
      <c r="K444" s="13">
        <f>IFERROR(('Invoice Data'!$B444+'Invoice Data'!$D444-'Invoice Data'!$F444-'Invoice Data'!$J444+'Invoice Data'!$G444),"Kluda!")</f>
        <v>9589</v>
      </c>
      <c r="L444" s="13">
        <v>0</v>
      </c>
      <c r="M444" s="14" cm="1">
        <f t="array" ref="M444">IFERROR(jauna_bil(D444,F444,J444,B444,L444),"Kluda!")</f>
        <v>9589</v>
      </c>
    </row>
    <row r="445" spans="1:13" x14ac:dyDescent="0.25">
      <c r="A445" s="12">
        <v>34834</v>
      </c>
      <c r="B445" s="13">
        <v>0</v>
      </c>
      <c r="C445" s="12"/>
      <c r="D445" s="13">
        <v>5061</v>
      </c>
      <c r="E445" s="12">
        <v>1</v>
      </c>
      <c r="F445" s="13" cm="1">
        <f t="array" ref="F445">IFERROR(atlaide(E445,B445),"Kluda!")</f>
        <v>0</v>
      </c>
      <c r="G445" s="13"/>
      <c r="H445" s="12">
        <v>0</v>
      </c>
      <c r="I445" s="12"/>
      <c r="J445" s="13" cm="1">
        <f t="array" ref="J445">palidzibas_d(H445,I445)</f>
        <v>0</v>
      </c>
      <c r="K445" s="13">
        <f>IFERROR(('Invoice Data'!$B445+'Invoice Data'!$D445-'Invoice Data'!$F445-'Invoice Data'!$J445+'Invoice Data'!$G445),"Kluda!")</f>
        <v>5061</v>
      </c>
      <c r="L445" s="13">
        <v>0</v>
      </c>
      <c r="M445" s="14" cm="1">
        <f t="array" ref="M445">IFERROR(jauna_bil(D445,F445,J445,B445,L445),"Kluda!")</f>
        <v>5061</v>
      </c>
    </row>
    <row r="446" spans="1:13" x14ac:dyDescent="0.25">
      <c r="A446" s="12">
        <v>34843</v>
      </c>
      <c r="B446" s="13">
        <v>0</v>
      </c>
      <c r="C446" s="12"/>
      <c r="D446" s="13">
        <v>4350</v>
      </c>
      <c r="E446" s="12">
        <v>1</v>
      </c>
      <c r="F446" s="13" cm="1">
        <f t="array" ref="F446">IFERROR(atlaide(E446,B446),"Kluda!")</f>
        <v>0</v>
      </c>
      <c r="G446" s="13"/>
      <c r="H446" s="12">
        <v>8</v>
      </c>
      <c r="I446" s="12"/>
      <c r="J446" s="13" cm="1">
        <f t="array" ref="J446">palidzibas_d(H446,I446)</f>
        <v>0</v>
      </c>
      <c r="K446" s="13">
        <f>IFERROR(('Invoice Data'!$B446+'Invoice Data'!$D446-'Invoice Data'!$F446-'Invoice Data'!$J446+'Invoice Data'!$G446),"Kluda!")</f>
        <v>4350</v>
      </c>
      <c r="L446" s="13">
        <v>0</v>
      </c>
      <c r="M446" s="14" cm="1">
        <f t="array" ref="M446">IFERROR(jauna_bil(D446,F446,J446,B446,L446),"Kluda!")</f>
        <v>4350</v>
      </c>
    </row>
    <row r="447" spans="1:13" x14ac:dyDescent="0.25">
      <c r="A447" s="12">
        <v>34852</v>
      </c>
      <c r="B447" s="13">
        <v>0</v>
      </c>
      <c r="C447" s="12"/>
      <c r="D447" s="13">
        <v>4951</v>
      </c>
      <c r="E447" s="12">
        <v>1</v>
      </c>
      <c r="F447" s="13" cm="1">
        <f t="array" ref="F447">IFERROR(atlaide(E447,B447),"Kluda!")</f>
        <v>0</v>
      </c>
      <c r="G447" s="13"/>
      <c r="H447" s="12">
        <v>2</v>
      </c>
      <c r="I447" s="12"/>
      <c r="J447" s="13" cm="1">
        <f t="array" ref="J447">palidzibas_d(H447,I447)</f>
        <v>0</v>
      </c>
      <c r="K447" s="13">
        <f>IFERROR(('Invoice Data'!$B447+'Invoice Data'!$D447-'Invoice Data'!$F447-'Invoice Data'!$J447+'Invoice Data'!$G447),"Kluda!")</f>
        <v>4951</v>
      </c>
      <c r="L447" s="13">
        <v>0</v>
      </c>
      <c r="M447" s="14" cm="1">
        <f t="array" ref="M447">IFERROR(jauna_bil(D447,F447,J447,B447,L447),"Kluda!")</f>
        <v>4951</v>
      </c>
    </row>
    <row r="448" spans="1:13" x14ac:dyDescent="0.25">
      <c r="A448" s="12">
        <v>34861</v>
      </c>
      <c r="B448" s="13">
        <v>0</v>
      </c>
      <c r="C448" s="12"/>
      <c r="D448" s="13">
        <v>7495</v>
      </c>
      <c r="E448" s="12">
        <v>2</v>
      </c>
      <c r="F448" s="13" cm="1">
        <f t="array" ref="F448">IFERROR(atlaide(E448,B448),"Kluda!")</f>
        <v>0</v>
      </c>
      <c r="G448" s="13"/>
      <c r="H448" s="12">
        <v>9</v>
      </c>
      <c r="I448" s="12"/>
      <c r="J448" s="13" cm="1">
        <f t="array" ref="J448">palidzibas_d(H448,I448)</f>
        <v>0</v>
      </c>
      <c r="K448" s="13">
        <f>IFERROR(('Invoice Data'!$B448+'Invoice Data'!$D448-'Invoice Data'!$F448-'Invoice Data'!$J448+'Invoice Data'!$G448),"Kluda!")</f>
        <v>7495</v>
      </c>
      <c r="L448" s="13">
        <v>0</v>
      </c>
      <c r="M448" s="14" cm="1">
        <f t="array" ref="M448">IFERROR(jauna_bil(D448,F448,J448,B448,L448),"Kluda!")</f>
        <v>7495</v>
      </c>
    </row>
    <row r="449" spans="1:13" x14ac:dyDescent="0.25">
      <c r="A449" s="12">
        <v>34870</v>
      </c>
      <c r="B449" s="13">
        <v>0</v>
      </c>
      <c r="C449" s="12"/>
      <c r="D449" s="13">
        <v>8167</v>
      </c>
      <c r="E449" s="12">
        <v>2</v>
      </c>
      <c r="F449" s="13" cm="1">
        <f t="array" ref="F449">IFERROR(atlaide(E449,B449),"Kluda!")</f>
        <v>0</v>
      </c>
      <c r="G449" s="13"/>
      <c r="H449" s="12">
        <v>1</v>
      </c>
      <c r="I449" s="12"/>
      <c r="J449" s="13" cm="1">
        <f t="array" ref="J449">palidzibas_d(H449,I449)</f>
        <v>0</v>
      </c>
      <c r="K449" s="13">
        <f>IFERROR(('Invoice Data'!$B449+'Invoice Data'!$D449-'Invoice Data'!$F449-'Invoice Data'!$J449+'Invoice Data'!$G449),"Kluda!")</f>
        <v>8167</v>
      </c>
      <c r="L449" s="13">
        <v>0</v>
      </c>
      <c r="M449" s="14" cm="1">
        <f t="array" ref="M449">IFERROR(jauna_bil(D449,F449,J449,B449,L449),"Kluda!")</f>
        <v>8167</v>
      </c>
    </row>
    <row r="450" spans="1:13" x14ac:dyDescent="0.25">
      <c r="A450" s="12">
        <v>34889</v>
      </c>
      <c r="B450" s="13">
        <v>0</v>
      </c>
      <c r="C450" s="12"/>
      <c r="D450" s="13">
        <v>9440</v>
      </c>
      <c r="E450" s="12">
        <v>2</v>
      </c>
      <c r="F450" s="13" cm="1">
        <f t="array" ref="F450">IFERROR(atlaide(E450,B450),"Kluda!")</f>
        <v>0</v>
      </c>
      <c r="G450" s="13"/>
      <c r="H450" s="12">
        <v>7</v>
      </c>
      <c r="I450" s="12"/>
      <c r="J450" s="13" cm="1">
        <f t="array" ref="J450">palidzibas_d(H450,I450)</f>
        <v>0</v>
      </c>
      <c r="K450" s="13">
        <f>IFERROR(('Invoice Data'!$B450+'Invoice Data'!$D450-'Invoice Data'!$F450-'Invoice Data'!$J450+'Invoice Data'!$G450),"Kluda!")</f>
        <v>9440</v>
      </c>
      <c r="L450" s="13">
        <v>0</v>
      </c>
      <c r="M450" s="14" cm="1">
        <f t="array" ref="M450">IFERROR(jauna_bil(D450,F450,J450,B450,L450),"Kluda!")</f>
        <v>9440</v>
      </c>
    </row>
    <row r="451" spans="1:13" x14ac:dyDescent="0.25">
      <c r="A451" s="12">
        <v>34898</v>
      </c>
      <c r="B451" s="13">
        <v>0</v>
      </c>
      <c r="C451" s="12"/>
      <c r="D451" s="13">
        <v>5140</v>
      </c>
      <c r="E451" s="12">
        <v>1</v>
      </c>
      <c r="F451" s="13" cm="1">
        <f t="array" ref="F451">IFERROR(atlaide(E451,B451),"Kluda!")</f>
        <v>0</v>
      </c>
      <c r="G451" s="13"/>
      <c r="H451" s="12">
        <v>13</v>
      </c>
      <c r="I451" s="12"/>
      <c r="J451" s="13" cm="1">
        <f t="array" ref="J451">palidzibas_d(H451,I451)</f>
        <v>0</v>
      </c>
      <c r="K451" s="13">
        <f>IFERROR(('Invoice Data'!$B451+'Invoice Data'!$D451-'Invoice Data'!$F451-'Invoice Data'!$J451+'Invoice Data'!$G451),"Kluda!")</f>
        <v>5140</v>
      </c>
      <c r="L451" s="13">
        <v>0</v>
      </c>
      <c r="M451" s="14" cm="1">
        <f t="array" ref="M451">IFERROR(jauna_bil(D451,F451,J451,B451,L451),"Kluda!")</f>
        <v>5140</v>
      </c>
    </row>
    <row r="452" spans="1:13" x14ac:dyDescent="0.25">
      <c r="A452" s="12">
        <v>34905</v>
      </c>
      <c r="B452" s="13">
        <v>0</v>
      </c>
      <c r="C452" s="12"/>
      <c r="D452" s="13">
        <v>4146</v>
      </c>
      <c r="E452" s="12">
        <v>1</v>
      </c>
      <c r="F452" s="13" cm="1">
        <f t="array" ref="F452">IFERROR(atlaide(E452,B452),"Kluda!")</f>
        <v>0</v>
      </c>
      <c r="G452" s="13"/>
      <c r="H452" s="12">
        <v>7</v>
      </c>
      <c r="I452" s="12"/>
      <c r="J452" s="13" cm="1">
        <f t="array" ref="J452">palidzibas_d(H452,I452)</f>
        <v>0</v>
      </c>
      <c r="K452" s="13">
        <f>IFERROR(('Invoice Data'!$B452+'Invoice Data'!$D452-'Invoice Data'!$F452-'Invoice Data'!$J452+'Invoice Data'!$G452),"Kluda!")</f>
        <v>4146</v>
      </c>
      <c r="L452" s="13">
        <v>0</v>
      </c>
      <c r="M452" s="14" cm="1">
        <f t="array" ref="M452">IFERROR(jauna_bil(D452,F452,J452,B452,L452),"Kluda!")</f>
        <v>4146</v>
      </c>
    </row>
    <row r="453" spans="1:13" x14ac:dyDescent="0.25">
      <c r="A453" s="12">
        <v>34914</v>
      </c>
      <c r="B453" s="13">
        <v>0</v>
      </c>
      <c r="C453" s="12"/>
      <c r="D453" s="13">
        <v>8550</v>
      </c>
      <c r="E453" s="12">
        <v>2</v>
      </c>
      <c r="F453" s="13" cm="1">
        <f t="array" ref="F453">IFERROR(atlaide(E453,B453),"Kluda!")</f>
        <v>0</v>
      </c>
      <c r="G453" s="13"/>
      <c r="H453" s="12">
        <v>8</v>
      </c>
      <c r="I453" s="12"/>
      <c r="J453" s="13" cm="1">
        <f t="array" ref="J453">palidzibas_d(H453,I453)</f>
        <v>0</v>
      </c>
      <c r="K453" s="13">
        <f>IFERROR(('Invoice Data'!$B453+'Invoice Data'!$D453-'Invoice Data'!$F453-'Invoice Data'!$J453+'Invoice Data'!$G453),"Kluda!")</f>
        <v>8550</v>
      </c>
      <c r="L453" s="13">
        <v>0</v>
      </c>
      <c r="M453" s="14" cm="1">
        <f t="array" ref="M453">IFERROR(jauna_bil(D453,F453,J453,B453,L453),"Kluda!")</f>
        <v>8550</v>
      </c>
    </row>
    <row r="454" spans="1:13" x14ac:dyDescent="0.25">
      <c r="A454" s="12">
        <v>34923</v>
      </c>
      <c r="B454" s="13">
        <v>0</v>
      </c>
      <c r="C454" s="12"/>
      <c r="D454" s="13">
        <v>8362</v>
      </c>
      <c r="E454" s="12">
        <v>2</v>
      </c>
      <c r="F454" s="13" cm="1">
        <f t="array" ref="F454">IFERROR(atlaide(E454,B454),"Kluda!")</f>
        <v>0</v>
      </c>
      <c r="G454" s="13"/>
      <c r="H454" s="12">
        <v>6</v>
      </c>
      <c r="I454" s="12"/>
      <c r="J454" s="13" cm="1">
        <f t="array" ref="J454">palidzibas_d(H454,I454)</f>
        <v>0</v>
      </c>
      <c r="K454" s="13">
        <f>IFERROR(('Invoice Data'!$B454+'Invoice Data'!$D454-'Invoice Data'!$F454-'Invoice Data'!$J454+'Invoice Data'!$G454),"Kluda!")</f>
        <v>8362</v>
      </c>
      <c r="L454" s="13">
        <v>0</v>
      </c>
      <c r="M454" s="14" cm="1">
        <f t="array" ref="M454">IFERROR(jauna_bil(D454,F454,J454,B454,L454),"Kluda!")</f>
        <v>8362</v>
      </c>
    </row>
    <row r="455" spans="1:13" x14ac:dyDescent="0.25">
      <c r="A455" s="12">
        <v>34932</v>
      </c>
      <c r="B455" s="13">
        <v>0</v>
      </c>
      <c r="C455" s="12"/>
      <c r="D455" s="13">
        <v>4842</v>
      </c>
      <c r="E455" s="12">
        <v>1</v>
      </c>
      <c r="F455" s="13" cm="1">
        <f t="array" ref="F455">IFERROR(atlaide(E455,B455),"Kluda!")</f>
        <v>0</v>
      </c>
      <c r="G455" s="13"/>
      <c r="H455" s="12">
        <v>4</v>
      </c>
      <c r="I455" s="12"/>
      <c r="J455" s="13" cm="1">
        <f t="array" ref="J455">palidzibas_d(H455,I455)</f>
        <v>0</v>
      </c>
      <c r="K455" s="13">
        <f>IFERROR(('Invoice Data'!$B455+'Invoice Data'!$D455-'Invoice Data'!$F455-'Invoice Data'!$J455+'Invoice Data'!$G455),"Kluda!")</f>
        <v>4842</v>
      </c>
      <c r="L455" s="13">
        <v>0</v>
      </c>
      <c r="M455" s="14" cm="1">
        <f t="array" ref="M455">IFERROR(jauna_bil(D455,F455,J455,B455,L455),"Kluda!")</f>
        <v>4842</v>
      </c>
    </row>
    <row r="456" spans="1:13" x14ac:dyDescent="0.25">
      <c r="A456" s="12">
        <v>34941</v>
      </c>
      <c r="B456" s="13">
        <v>0</v>
      </c>
      <c r="C456" s="12"/>
      <c r="D456" s="13">
        <v>4719</v>
      </c>
      <c r="E456" s="12">
        <v>1</v>
      </c>
      <c r="F456" s="13" cm="1">
        <f t="array" ref="F456">IFERROR(atlaide(E456,B456),"Kluda!")</f>
        <v>0</v>
      </c>
      <c r="G456" s="13"/>
      <c r="H456" s="12">
        <v>9</v>
      </c>
      <c r="I456" s="12"/>
      <c r="J456" s="13" cm="1">
        <f t="array" ref="J456">palidzibas_d(H456,I456)</f>
        <v>0</v>
      </c>
      <c r="K456" s="13">
        <f>IFERROR(('Invoice Data'!$B456+'Invoice Data'!$D456-'Invoice Data'!$F456-'Invoice Data'!$J456+'Invoice Data'!$G456),"Kluda!")</f>
        <v>4719</v>
      </c>
      <c r="L456" s="13">
        <v>0</v>
      </c>
      <c r="M456" s="14" cm="1">
        <f t="array" ref="M456">IFERROR(jauna_bil(D456,F456,J456,B456,L456),"Kluda!")</f>
        <v>4719</v>
      </c>
    </row>
    <row r="457" spans="1:13" x14ac:dyDescent="0.25">
      <c r="A457" s="12">
        <v>34950</v>
      </c>
      <c r="B457" s="13">
        <v>0</v>
      </c>
      <c r="C457" s="12"/>
      <c r="D457" s="13">
        <v>4044</v>
      </c>
      <c r="E457" s="12">
        <v>1</v>
      </c>
      <c r="F457" s="13" cm="1">
        <f t="array" ref="F457">IFERROR(atlaide(E457,B457),"Kluda!")</f>
        <v>0</v>
      </c>
      <c r="G457" s="13"/>
      <c r="H457" s="12">
        <v>9</v>
      </c>
      <c r="I457" s="12"/>
      <c r="J457" s="13" cm="1">
        <f t="array" ref="J457">palidzibas_d(H457,I457)</f>
        <v>0</v>
      </c>
      <c r="K457" s="13">
        <f>IFERROR(('Invoice Data'!$B457+'Invoice Data'!$D457-'Invoice Data'!$F457-'Invoice Data'!$J457+'Invoice Data'!$G457),"Kluda!")</f>
        <v>4044</v>
      </c>
      <c r="L457" s="13">
        <v>0</v>
      </c>
      <c r="M457" s="14" cm="1">
        <f t="array" ref="M457">IFERROR(jauna_bil(D457,F457,J457,B457,L457),"Kluda!")</f>
        <v>4044</v>
      </c>
    </row>
    <row r="458" spans="1:13" x14ac:dyDescent="0.25">
      <c r="A458" s="12">
        <v>34969</v>
      </c>
      <c r="B458" s="13">
        <v>0</v>
      </c>
      <c r="C458" s="12"/>
      <c r="D458" s="13">
        <v>4525</v>
      </c>
      <c r="E458" s="12">
        <v>1</v>
      </c>
      <c r="F458" s="13" cm="1">
        <f t="array" ref="F458">IFERROR(atlaide(E458,B458),"Kluda!")</f>
        <v>0</v>
      </c>
      <c r="G458" s="13"/>
      <c r="H458" s="12">
        <v>15</v>
      </c>
      <c r="I458" s="12"/>
      <c r="J458" s="13" cm="1">
        <f t="array" ref="J458">palidzibas_d(H458,I458)</f>
        <v>0</v>
      </c>
      <c r="K458" s="13">
        <f>IFERROR(('Invoice Data'!$B458+'Invoice Data'!$D458-'Invoice Data'!$F458-'Invoice Data'!$J458+'Invoice Data'!$G458),"Kluda!")</f>
        <v>4525</v>
      </c>
      <c r="L458" s="13">
        <v>0</v>
      </c>
      <c r="M458" s="14" cm="1">
        <f t="array" ref="M458">IFERROR(jauna_bil(D458,F458,J458,B458,L458),"Kluda!")</f>
        <v>4525</v>
      </c>
    </row>
    <row r="459" spans="1:13" x14ac:dyDescent="0.25">
      <c r="A459" s="12">
        <v>34978</v>
      </c>
      <c r="B459" s="13">
        <v>0</v>
      </c>
      <c r="C459" s="12"/>
      <c r="D459" s="13">
        <v>8299</v>
      </c>
      <c r="E459" s="12">
        <v>2</v>
      </c>
      <c r="F459" s="13" cm="1">
        <f t="array" ref="F459">IFERROR(atlaide(E459,B459),"Kluda!")</f>
        <v>0</v>
      </c>
      <c r="G459" s="13"/>
      <c r="H459" s="12">
        <v>10</v>
      </c>
      <c r="I459" s="12"/>
      <c r="J459" s="13" cm="1">
        <f t="array" ref="J459">palidzibas_d(H459,I459)</f>
        <v>0</v>
      </c>
      <c r="K459" s="13">
        <f>IFERROR(('Invoice Data'!$B459+'Invoice Data'!$D459-'Invoice Data'!$F459-'Invoice Data'!$J459+'Invoice Data'!$G459),"Kluda!")</f>
        <v>8299</v>
      </c>
      <c r="L459" s="13">
        <v>0</v>
      </c>
      <c r="M459" s="14" cm="1">
        <f t="array" ref="M459">IFERROR(jauna_bil(D459,F459,J459,B459,L459),"Kluda!")</f>
        <v>8299</v>
      </c>
    </row>
    <row r="460" spans="1:13" x14ac:dyDescent="0.25">
      <c r="A460" s="12">
        <v>34987</v>
      </c>
      <c r="B460" s="13">
        <v>0</v>
      </c>
      <c r="C460" s="12"/>
      <c r="D460" s="13">
        <v>9404</v>
      </c>
      <c r="E460" s="12">
        <v>2</v>
      </c>
      <c r="F460" s="13" cm="1">
        <f t="array" ref="F460">IFERROR(atlaide(E460,B460),"Kluda!")</f>
        <v>0</v>
      </c>
      <c r="G460" s="13"/>
      <c r="H460" s="12">
        <v>15</v>
      </c>
      <c r="I460" s="12"/>
      <c r="J460" s="13" cm="1">
        <f t="array" ref="J460">palidzibas_d(H460,I460)</f>
        <v>0</v>
      </c>
      <c r="K460" s="13">
        <f>IFERROR(('Invoice Data'!$B460+'Invoice Data'!$D460-'Invoice Data'!$F460-'Invoice Data'!$J460+'Invoice Data'!$G460),"Kluda!")</f>
        <v>9404</v>
      </c>
      <c r="L460" s="13">
        <v>0</v>
      </c>
      <c r="M460" s="14" cm="1">
        <f t="array" ref="M460">IFERROR(jauna_bil(D460,F460,J460,B460,L460),"Kluda!")</f>
        <v>9404</v>
      </c>
    </row>
    <row r="461" spans="1:13" x14ac:dyDescent="0.25">
      <c r="A461" s="12">
        <v>34996</v>
      </c>
      <c r="B461" s="13">
        <v>0</v>
      </c>
      <c r="C461" s="12"/>
      <c r="D461" s="13">
        <v>5373</v>
      </c>
      <c r="E461" s="12">
        <v>1</v>
      </c>
      <c r="F461" s="13" cm="1">
        <f t="array" ref="F461">IFERROR(atlaide(E461,B461),"Kluda!")</f>
        <v>0</v>
      </c>
      <c r="G461" s="13"/>
      <c r="H461" s="12">
        <v>2</v>
      </c>
      <c r="I461" s="12"/>
      <c r="J461" s="13" cm="1">
        <f t="array" ref="J461">palidzibas_d(H461,I461)</f>
        <v>0</v>
      </c>
      <c r="K461" s="13">
        <f>IFERROR(('Invoice Data'!$B461+'Invoice Data'!$D461-'Invoice Data'!$F461-'Invoice Data'!$J461+'Invoice Data'!$G461),"Kluda!")</f>
        <v>5373</v>
      </c>
      <c r="L461" s="13">
        <v>0</v>
      </c>
      <c r="M461" s="14" cm="1">
        <f t="array" ref="M461">IFERROR(jauna_bil(D461,F461,J461,B461,L461),"Kluda!")</f>
        <v>5373</v>
      </c>
    </row>
    <row r="462" spans="1:13" x14ac:dyDescent="0.25">
      <c r="A462" s="12">
        <v>35003</v>
      </c>
      <c r="B462" s="13">
        <v>0</v>
      </c>
      <c r="C462" s="12"/>
      <c r="D462" s="13">
        <v>3181</v>
      </c>
      <c r="E462" s="12">
        <v>1</v>
      </c>
      <c r="F462" s="13" cm="1">
        <f t="array" ref="F462">IFERROR(atlaide(E462,B462),"Kluda!")</f>
        <v>0</v>
      </c>
      <c r="G462" s="13"/>
      <c r="H462" s="12">
        <v>4</v>
      </c>
      <c r="I462" s="12"/>
      <c r="J462" s="13" cm="1">
        <f t="array" ref="J462">palidzibas_d(H462,I462)</f>
        <v>0</v>
      </c>
      <c r="K462" s="13">
        <f>IFERROR(('Invoice Data'!$B462+'Invoice Data'!$D462-'Invoice Data'!$F462-'Invoice Data'!$J462+'Invoice Data'!$G462),"Kluda!")</f>
        <v>3181</v>
      </c>
      <c r="L462" s="13">
        <v>0</v>
      </c>
      <c r="M462" s="14" cm="1">
        <f t="array" ref="M462">IFERROR(jauna_bil(D462,F462,J462,B462,L462),"Kluda!")</f>
        <v>3181</v>
      </c>
    </row>
    <row r="463" spans="1:13" x14ac:dyDescent="0.25">
      <c r="A463" s="12">
        <v>35012</v>
      </c>
      <c r="B463" s="13">
        <v>0</v>
      </c>
      <c r="C463" s="12"/>
      <c r="D463" s="13">
        <v>6754</v>
      </c>
      <c r="E463" s="12">
        <v>2</v>
      </c>
      <c r="F463" s="13" cm="1">
        <f t="array" ref="F463">IFERROR(atlaide(E463,B463),"Kluda!")</f>
        <v>0</v>
      </c>
      <c r="G463" s="13"/>
      <c r="H463" s="12">
        <v>5</v>
      </c>
      <c r="I463" s="12"/>
      <c r="J463" s="13" cm="1">
        <f t="array" ref="J463">palidzibas_d(H463,I463)</f>
        <v>0</v>
      </c>
      <c r="K463" s="13">
        <f>IFERROR(('Invoice Data'!$B463+'Invoice Data'!$D463-'Invoice Data'!$F463-'Invoice Data'!$J463+'Invoice Data'!$G463),"Kluda!")</f>
        <v>6754</v>
      </c>
      <c r="L463" s="13">
        <v>0</v>
      </c>
      <c r="M463" s="14" cm="1">
        <f t="array" ref="M463">IFERROR(jauna_bil(D463,F463,J463,B463,L463),"Kluda!")</f>
        <v>6754</v>
      </c>
    </row>
    <row r="464" spans="1:13" x14ac:dyDescent="0.25">
      <c r="A464" s="12">
        <v>35021</v>
      </c>
      <c r="B464" s="13">
        <v>0</v>
      </c>
      <c r="C464" s="12"/>
      <c r="D464" s="13">
        <v>4433</v>
      </c>
      <c r="E464" s="12">
        <v>1</v>
      </c>
      <c r="F464" s="13" cm="1">
        <f t="array" ref="F464">IFERROR(atlaide(E464,B464),"Kluda!")</f>
        <v>0</v>
      </c>
      <c r="G464" s="13"/>
      <c r="H464" s="12">
        <v>7</v>
      </c>
      <c r="I464" s="12"/>
      <c r="J464" s="13" cm="1">
        <f t="array" ref="J464">palidzibas_d(H464,I464)</f>
        <v>0</v>
      </c>
      <c r="K464" s="13">
        <f>IFERROR(('Invoice Data'!$B464+'Invoice Data'!$D464-'Invoice Data'!$F464-'Invoice Data'!$J464+'Invoice Data'!$G464),"Kluda!")</f>
        <v>4433</v>
      </c>
      <c r="L464" s="13">
        <v>0</v>
      </c>
      <c r="M464" s="14" cm="1">
        <f t="array" ref="M464">IFERROR(jauna_bil(D464,F464,J464,B464,L464),"Kluda!")</f>
        <v>4433</v>
      </c>
    </row>
    <row r="465" spans="1:13" x14ac:dyDescent="0.25">
      <c r="A465" s="12">
        <v>35030</v>
      </c>
      <c r="B465" s="13">
        <v>0</v>
      </c>
      <c r="C465" s="12"/>
      <c r="D465" s="13">
        <v>4028</v>
      </c>
      <c r="E465" s="12">
        <v>1</v>
      </c>
      <c r="F465" s="13" cm="1">
        <f t="array" ref="F465">IFERROR(atlaide(E465,B465),"Kluda!")</f>
        <v>0</v>
      </c>
      <c r="G465" s="13"/>
      <c r="H465" s="12">
        <v>13</v>
      </c>
      <c r="I465" s="12"/>
      <c r="J465" s="13" cm="1">
        <f t="array" ref="J465">palidzibas_d(H465,I465)</f>
        <v>0</v>
      </c>
      <c r="K465" s="13">
        <f>IFERROR(('Invoice Data'!$B465+'Invoice Data'!$D465-'Invoice Data'!$F465-'Invoice Data'!$J465+'Invoice Data'!$G465),"Kluda!")</f>
        <v>4028</v>
      </c>
      <c r="L465" s="13">
        <v>0</v>
      </c>
      <c r="M465" s="14" cm="1">
        <f t="array" ref="M465">IFERROR(jauna_bil(D465,F465,J465,B465,L465),"Kluda!")</f>
        <v>4028</v>
      </c>
    </row>
    <row r="466" spans="1:13" x14ac:dyDescent="0.25">
      <c r="A466" s="12">
        <v>35049</v>
      </c>
      <c r="B466" s="13">
        <v>0</v>
      </c>
      <c r="C466" s="12"/>
      <c r="D466" s="13">
        <v>4473</v>
      </c>
      <c r="E466" s="12">
        <v>1</v>
      </c>
      <c r="F466" s="13" cm="1">
        <f t="array" ref="F466">IFERROR(atlaide(E466,B466),"Kluda!")</f>
        <v>0</v>
      </c>
      <c r="G466" s="13"/>
      <c r="H466" s="12">
        <v>8</v>
      </c>
      <c r="I466" s="12"/>
      <c r="J466" s="13" cm="1">
        <f t="array" ref="J466">palidzibas_d(H466,I466)</f>
        <v>0</v>
      </c>
      <c r="K466" s="13">
        <f>IFERROR(('Invoice Data'!$B466+'Invoice Data'!$D466-'Invoice Data'!$F466-'Invoice Data'!$J466+'Invoice Data'!$G466),"Kluda!")</f>
        <v>4473</v>
      </c>
      <c r="L466" s="13">
        <v>0</v>
      </c>
      <c r="M466" s="14" cm="1">
        <f t="array" ref="M466">IFERROR(jauna_bil(D466,F466,J466,B466,L466),"Kluda!")</f>
        <v>4473</v>
      </c>
    </row>
    <row r="467" spans="1:13" x14ac:dyDescent="0.25">
      <c r="A467" s="12">
        <v>35058</v>
      </c>
      <c r="B467" s="13">
        <v>0</v>
      </c>
      <c r="C467" s="12"/>
      <c r="D467" s="13">
        <v>4043</v>
      </c>
      <c r="E467" s="12">
        <v>1</v>
      </c>
      <c r="F467" s="13" cm="1">
        <f t="array" ref="F467">IFERROR(atlaide(E467,B467),"Kluda!")</f>
        <v>0</v>
      </c>
      <c r="G467" s="13"/>
      <c r="H467" s="12">
        <v>12</v>
      </c>
      <c r="I467" s="12"/>
      <c r="J467" s="13" cm="1">
        <f t="array" ref="J467">palidzibas_d(H467,I467)</f>
        <v>0</v>
      </c>
      <c r="K467" s="13">
        <f>IFERROR(('Invoice Data'!$B467+'Invoice Data'!$D467-'Invoice Data'!$F467-'Invoice Data'!$J467+'Invoice Data'!$G467),"Kluda!")</f>
        <v>4043</v>
      </c>
      <c r="L467" s="13">
        <v>0</v>
      </c>
      <c r="M467" s="14" cm="1">
        <f t="array" ref="M467">IFERROR(jauna_bil(D467,F467,J467,B467,L467),"Kluda!")</f>
        <v>4043</v>
      </c>
    </row>
    <row r="468" spans="1:13" x14ac:dyDescent="0.25">
      <c r="A468" s="12">
        <v>35067</v>
      </c>
      <c r="B468" s="13">
        <v>0</v>
      </c>
      <c r="C468" s="12"/>
      <c r="D468" s="13">
        <v>9670</v>
      </c>
      <c r="E468" s="12">
        <v>2</v>
      </c>
      <c r="F468" s="13" cm="1">
        <f t="array" ref="F468">IFERROR(atlaide(E468,B468),"Kluda!")</f>
        <v>0</v>
      </c>
      <c r="G468" s="13"/>
      <c r="H468" s="12">
        <v>7</v>
      </c>
      <c r="I468" s="12"/>
      <c r="J468" s="13" cm="1">
        <f t="array" ref="J468">palidzibas_d(H468,I468)</f>
        <v>0</v>
      </c>
      <c r="K468" s="13">
        <f>IFERROR(('Invoice Data'!$B468+'Invoice Data'!$D468-'Invoice Data'!$F468-'Invoice Data'!$J468+'Invoice Data'!$G468),"Kluda!")</f>
        <v>9670</v>
      </c>
      <c r="L468" s="13">
        <v>0</v>
      </c>
      <c r="M468" s="14" cm="1">
        <f t="array" ref="M468">IFERROR(jauna_bil(D468,F468,J468,B468,L468),"Kluda!")</f>
        <v>9670</v>
      </c>
    </row>
    <row r="469" spans="1:13" x14ac:dyDescent="0.25">
      <c r="A469" s="12">
        <v>35076</v>
      </c>
      <c r="B469" s="13">
        <v>0</v>
      </c>
      <c r="C469" s="12"/>
      <c r="D469" s="13">
        <v>4811</v>
      </c>
      <c r="E469" s="12">
        <v>1</v>
      </c>
      <c r="F469" s="13" cm="1">
        <f t="array" ref="F469">IFERROR(atlaide(E469,B469),"Kluda!")</f>
        <v>0</v>
      </c>
      <c r="G469" s="13"/>
      <c r="H469" s="12">
        <v>6</v>
      </c>
      <c r="I469" s="12"/>
      <c r="J469" s="13" cm="1">
        <f t="array" ref="J469">palidzibas_d(H469,I469)</f>
        <v>0</v>
      </c>
      <c r="K469" s="13">
        <f>IFERROR(('Invoice Data'!$B469+'Invoice Data'!$D469-'Invoice Data'!$F469-'Invoice Data'!$J469+'Invoice Data'!$G469),"Kluda!")</f>
        <v>4811</v>
      </c>
      <c r="L469" s="13">
        <v>0</v>
      </c>
      <c r="M469" s="14" cm="1">
        <f t="array" ref="M469">IFERROR(jauna_bil(D469,F469,J469,B469,L469),"Kluda!")</f>
        <v>4811</v>
      </c>
    </row>
    <row r="470" spans="1:13" x14ac:dyDescent="0.25">
      <c r="A470" s="12">
        <v>35085</v>
      </c>
      <c r="B470" s="13">
        <v>0</v>
      </c>
      <c r="C470" s="12"/>
      <c r="D470" s="13">
        <v>4942</v>
      </c>
      <c r="E470" s="12">
        <v>1</v>
      </c>
      <c r="F470" s="13" cm="1">
        <f t="array" ref="F470">IFERROR(atlaide(E470,B470),"Kluda!")</f>
        <v>0</v>
      </c>
      <c r="G470" s="13"/>
      <c r="H470" s="12">
        <v>9</v>
      </c>
      <c r="I470" s="12"/>
      <c r="J470" s="13" cm="1">
        <f t="array" ref="J470">palidzibas_d(H470,I470)</f>
        <v>0</v>
      </c>
      <c r="K470" s="13">
        <f>IFERROR(('Invoice Data'!$B470+'Invoice Data'!$D470-'Invoice Data'!$F470-'Invoice Data'!$J470+'Invoice Data'!$G470),"Kluda!")</f>
        <v>4942</v>
      </c>
      <c r="L470" s="13">
        <v>0</v>
      </c>
      <c r="M470" s="14" cm="1">
        <f t="array" ref="M470">IFERROR(jauna_bil(D470,F470,J470,B470,L470),"Kluda!")</f>
        <v>4942</v>
      </c>
    </row>
    <row r="471" spans="1:13" x14ac:dyDescent="0.25">
      <c r="A471" s="12">
        <v>35094</v>
      </c>
      <c r="B471" s="13">
        <v>0</v>
      </c>
      <c r="C471" s="12"/>
      <c r="D471" s="13">
        <v>4121</v>
      </c>
      <c r="E471" s="12">
        <v>1</v>
      </c>
      <c r="F471" s="13" cm="1">
        <f t="array" ref="F471">IFERROR(atlaide(E471,B471),"Kluda!")</f>
        <v>0</v>
      </c>
      <c r="G471" s="13"/>
      <c r="H471" s="12">
        <v>16</v>
      </c>
      <c r="I471" s="12"/>
      <c r="J471" s="13" cm="1">
        <f t="array" ref="J471">palidzibas_d(H471,I471)</f>
        <v>0</v>
      </c>
      <c r="K471" s="13">
        <f>IFERROR(('Invoice Data'!$B471+'Invoice Data'!$D471-'Invoice Data'!$F471-'Invoice Data'!$J471+'Invoice Data'!$G471),"Kluda!")</f>
        <v>4121</v>
      </c>
      <c r="L471" s="13">
        <v>0</v>
      </c>
      <c r="M471" s="14" cm="1">
        <f t="array" ref="M471">IFERROR(jauna_bil(D471,F471,J471,B471,L471),"Kluda!")</f>
        <v>4121</v>
      </c>
    </row>
    <row r="472" spans="1:13" x14ac:dyDescent="0.25">
      <c r="A472" s="12">
        <v>35101</v>
      </c>
      <c r="B472" s="13">
        <v>0</v>
      </c>
      <c r="C472" s="12"/>
      <c r="D472" s="13">
        <v>6909</v>
      </c>
      <c r="E472" s="12">
        <v>2</v>
      </c>
      <c r="F472" s="13" cm="1">
        <f t="array" ref="F472">IFERROR(atlaide(E472,B472),"Kluda!")</f>
        <v>0</v>
      </c>
      <c r="G472" s="13"/>
      <c r="H472" s="12">
        <v>10</v>
      </c>
      <c r="I472" s="12"/>
      <c r="J472" s="13" cm="1">
        <f t="array" ref="J472">palidzibas_d(H472,I472)</f>
        <v>0</v>
      </c>
      <c r="K472" s="13">
        <f>IFERROR(('Invoice Data'!$B472+'Invoice Data'!$D472-'Invoice Data'!$F472-'Invoice Data'!$J472+'Invoice Data'!$G472),"Kluda!")</f>
        <v>6909</v>
      </c>
      <c r="L472" s="13">
        <v>0</v>
      </c>
      <c r="M472" s="14" cm="1">
        <f t="array" ref="M472">IFERROR(jauna_bil(D472,F472,J472,B472,L472),"Kluda!")</f>
        <v>6909</v>
      </c>
    </row>
    <row r="473" spans="1:13" x14ac:dyDescent="0.25">
      <c r="A473" s="12">
        <v>35110</v>
      </c>
      <c r="B473" s="13">
        <v>0</v>
      </c>
      <c r="C473" s="12"/>
      <c r="D473" s="13">
        <v>6959</v>
      </c>
      <c r="E473" s="12">
        <v>2</v>
      </c>
      <c r="F473" s="13" cm="1">
        <f t="array" ref="F473">IFERROR(atlaide(E473,B473),"Kluda!")</f>
        <v>0</v>
      </c>
      <c r="G473" s="13"/>
      <c r="H473" s="12">
        <v>12</v>
      </c>
      <c r="I473" s="12"/>
      <c r="J473" s="13" cm="1">
        <f t="array" ref="J473">palidzibas_d(H473,I473)</f>
        <v>0</v>
      </c>
      <c r="K473" s="13">
        <f>IFERROR(('Invoice Data'!$B473+'Invoice Data'!$D473-'Invoice Data'!$F473-'Invoice Data'!$J473+'Invoice Data'!$G473),"Kluda!")</f>
        <v>6959</v>
      </c>
      <c r="L473" s="13">
        <v>0</v>
      </c>
      <c r="M473" s="14" cm="1">
        <f t="array" ref="M473">IFERROR(jauna_bil(D473,F473,J473,B473,L473),"Kluda!")</f>
        <v>6959</v>
      </c>
    </row>
    <row r="474" spans="1:13" x14ac:dyDescent="0.25">
      <c r="A474" s="12">
        <v>35129</v>
      </c>
      <c r="B474" s="13">
        <v>0</v>
      </c>
      <c r="C474" s="12"/>
      <c r="D474" s="13">
        <v>8767</v>
      </c>
      <c r="E474" s="12">
        <v>2</v>
      </c>
      <c r="F474" s="13" cm="1">
        <f t="array" ref="F474">IFERROR(atlaide(E474,B474),"Kluda!")</f>
        <v>0</v>
      </c>
      <c r="G474" s="13"/>
      <c r="H474" s="12">
        <v>9</v>
      </c>
      <c r="I474" s="12"/>
      <c r="J474" s="13" cm="1">
        <f t="array" ref="J474">palidzibas_d(H474,I474)</f>
        <v>0</v>
      </c>
      <c r="K474" s="13">
        <f>IFERROR(('Invoice Data'!$B474+'Invoice Data'!$D474-'Invoice Data'!$F474-'Invoice Data'!$J474+'Invoice Data'!$G474),"Kluda!")</f>
        <v>8767</v>
      </c>
      <c r="L474" s="13">
        <v>0</v>
      </c>
      <c r="M474" s="14" cm="1">
        <f t="array" ref="M474">IFERROR(jauna_bil(D474,F474,J474,B474,L474),"Kluda!")</f>
        <v>8767</v>
      </c>
    </row>
    <row r="475" spans="1:13" x14ac:dyDescent="0.25">
      <c r="A475" s="12">
        <v>35138</v>
      </c>
      <c r="B475" s="13">
        <v>0</v>
      </c>
      <c r="C475" s="12"/>
      <c r="D475" s="13">
        <v>5057</v>
      </c>
      <c r="E475" s="12">
        <v>1</v>
      </c>
      <c r="F475" s="13" cm="1">
        <f t="array" ref="F475">IFERROR(atlaide(E475,B475),"Kluda!")</f>
        <v>0</v>
      </c>
      <c r="G475" s="13"/>
      <c r="H475" s="12">
        <v>12</v>
      </c>
      <c r="I475" s="12"/>
      <c r="J475" s="13" cm="1">
        <f t="array" ref="J475">palidzibas_d(H475,I475)</f>
        <v>0</v>
      </c>
      <c r="K475" s="13">
        <f>IFERROR(('Invoice Data'!$B475+'Invoice Data'!$D475-'Invoice Data'!$F475-'Invoice Data'!$J475+'Invoice Data'!$G475),"Kluda!")</f>
        <v>5057</v>
      </c>
      <c r="L475" s="13">
        <v>0</v>
      </c>
      <c r="M475" s="14" cm="1">
        <f t="array" ref="M475">IFERROR(jauna_bil(D475,F475,J475,B475,L475),"Kluda!")</f>
        <v>5057</v>
      </c>
    </row>
    <row r="476" spans="1:13" x14ac:dyDescent="0.25">
      <c r="A476" s="12">
        <v>35147</v>
      </c>
      <c r="B476" s="13">
        <v>0</v>
      </c>
      <c r="C476" s="12"/>
      <c r="D476" s="13">
        <v>5031</v>
      </c>
      <c r="E476" s="12">
        <v>1</v>
      </c>
      <c r="F476" s="13" cm="1">
        <f t="array" ref="F476">IFERROR(atlaide(E476,B476),"Kluda!")</f>
        <v>0</v>
      </c>
      <c r="G476" s="13"/>
      <c r="H476" s="12">
        <v>0</v>
      </c>
      <c r="I476" s="12"/>
      <c r="J476" s="13" cm="1">
        <f t="array" ref="J476">palidzibas_d(H476,I476)</f>
        <v>0</v>
      </c>
      <c r="K476" s="13">
        <f>IFERROR(('Invoice Data'!$B476+'Invoice Data'!$D476-'Invoice Data'!$F476-'Invoice Data'!$J476+'Invoice Data'!$G476),"Kluda!")</f>
        <v>5031</v>
      </c>
      <c r="L476" s="13">
        <v>0</v>
      </c>
      <c r="M476" s="14" cm="1">
        <f t="array" ref="M476">IFERROR(jauna_bil(D476,F476,J476,B476,L476),"Kluda!")</f>
        <v>5031</v>
      </c>
    </row>
    <row r="477" spans="1:13" x14ac:dyDescent="0.25">
      <c r="A477" s="12">
        <v>35156</v>
      </c>
      <c r="B477" s="13">
        <v>0</v>
      </c>
      <c r="C477" s="12"/>
      <c r="D477" s="13">
        <v>5510</v>
      </c>
      <c r="E477" s="12">
        <v>1</v>
      </c>
      <c r="F477" s="13" cm="1">
        <f t="array" ref="F477">IFERROR(atlaide(E477,B477),"Kluda!")</f>
        <v>0</v>
      </c>
      <c r="G477" s="13"/>
      <c r="H477" s="12">
        <v>11</v>
      </c>
      <c r="I477" s="12"/>
      <c r="J477" s="13" cm="1">
        <f t="array" ref="J477">palidzibas_d(H477,I477)</f>
        <v>0</v>
      </c>
      <c r="K477" s="13">
        <f>IFERROR(('Invoice Data'!$B477+'Invoice Data'!$D477-'Invoice Data'!$F477-'Invoice Data'!$J477+'Invoice Data'!$G477),"Kluda!")</f>
        <v>5510</v>
      </c>
      <c r="L477" s="13">
        <v>0</v>
      </c>
      <c r="M477" s="14" cm="1">
        <f t="array" ref="M477">IFERROR(jauna_bil(D477,F477,J477,B477,L477),"Kluda!")</f>
        <v>5510</v>
      </c>
    </row>
    <row r="478" spans="1:13" x14ac:dyDescent="0.25">
      <c r="A478" s="12">
        <v>35165</v>
      </c>
      <c r="B478" s="13">
        <v>0</v>
      </c>
      <c r="C478" s="12"/>
      <c r="D478" s="13">
        <v>4334</v>
      </c>
      <c r="E478" s="12">
        <v>1</v>
      </c>
      <c r="F478" s="13" cm="1">
        <f t="array" ref="F478">IFERROR(atlaide(E478,B478),"Kluda!")</f>
        <v>0</v>
      </c>
      <c r="G478" s="13"/>
      <c r="H478" s="12">
        <v>3</v>
      </c>
      <c r="I478" s="12"/>
      <c r="J478" s="13" cm="1">
        <f t="array" ref="J478">palidzibas_d(H478,I478)</f>
        <v>0</v>
      </c>
      <c r="K478" s="13">
        <f>IFERROR(('Invoice Data'!$B478+'Invoice Data'!$D478-'Invoice Data'!$F478-'Invoice Data'!$J478+'Invoice Data'!$G478),"Kluda!")</f>
        <v>4334</v>
      </c>
      <c r="L478" s="13">
        <v>0</v>
      </c>
      <c r="M478" s="14" cm="1">
        <f t="array" ref="M478">IFERROR(jauna_bil(D478,F478,J478,B478,L478),"Kluda!")</f>
        <v>4334</v>
      </c>
    </row>
    <row r="479" spans="1:13" x14ac:dyDescent="0.25">
      <c r="A479" s="12">
        <v>35174</v>
      </c>
      <c r="B479" s="13">
        <v>0</v>
      </c>
      <c r="C479" s="12"/>
      <c r="D479" s="13">
        <v>4137</v>
      </c>
      <c r="E479" s="12">
        <v>1</v>
      </c>
      <c r="F479" s="13" cm="1">
        <f t="array" ref="F479">IFERROR(atlaide(E479,B479),"Kluda!")</f>
        <v>0</v>
      </c>
      <c r="G479" s="13"/>
      <c r="H479" s="12">
        <v>8</v>
      </c>
      <c r="I479" s="12"/>
      <c r="J479" s="13" cm="1">
        <f t="array" ref="J479">palidzibas_d(H479,I479)</f>
        <v>0</v>
      </c>
      <c r="K479" s="13">
        <f>IFERROR(('Invoice Data'!$B479+'Invoice Data'!$D479-'Invoice Data'!$F479-'Invoice Data'!$J479+'Invoice Data'!$G479),"Kluda!")</f>
        <v>4137</v>
      </c>
      <c r="L479" s="13">
        <v>0</v>
      </c>
      <c r="M479" s="14" cm="1">
        <f t="array" ref="M479">IFERROR(jauna_bil(D479,F479,J479,B479,L479),"Kluda!")</f>
        <v>4137</v>
      </c>
    </row>
    <row r="480" spans="1:13" x14ac:dyDescent="0.25">
      <c r="A480" s="12">
        <v>35183</v>
      </c>
      <c r="B480" s="13">
        <v>0</v>
      </c>
      <c r="C480" s="12"/>
      <c r="D480" s="13">
        <v>4824</v>
      </c>
      <c r="E480" s="12">
        <v>1</v>
      </c>
      <c r="F480" s="13" cm="1">
        <f t="array" ref="F480">IFERROR(atlaide(E480,B480),"Kluda!")</f>
        <v>0</v>
      </c>
      <c r="G480" s="13"/>
      <c r="H480" s="12">
        <v>7</v>
      </c>
      <c r="I480" s="12"/>
      <c r="J480" s="13" cm="1">
        <f t="array" ref="J480">palidzibas_d(H480,I480)</f>
        <v>0</v>
      </c>
      <c r="K480" s="13">
        <f>IFERROR(('Invoice Data'!$B480+'Invoice Data'!$D480-'Invoice Data'!$F480-'Invoice Data'!$J480+'Invoice Data'!$G480),"Kluda!")</f>
        <v>4824</v>
      </c>
      <c r="L480" s="13">
        <v>0</v>
      </c>
      <c r="M480" s="14" cm="1">
        <f t="array" ref="M480">IFERROR(jauna_bil(D480,F480,J480,B480,L480),"Kluda!")</f>
        <v>4824</v>
      </c>
    </row>
    <row r="481" spans="1:13" x14ac:dyDescent="0.25">
      <c r="A481" s="12">
        <v>35192</v>
      </c>
      <c r="B481" s="13">
        <v>0</v>
      </c>
      <c r="C481" s="12"/>
      <c r="D481" s="13">
        <v>7869</v>
      </c>
      <c r="E481" s="12">
        <v>2</v>
      </c>
      <c r="F481" s="13" cm="1">
        <f t="array" ref="F481">IFERROR(atlaide(E481,B481),"Kluda!")</f>
        <v>0</v>
      </c>
      <c r="G481" s="13"/>
      <c r="H481" s="12">
        <v>16</v>
      </c>
      <c r="I481" s="12"/>
      <c r="J481" s="13" cm="1">
        <f t="array" ref="J481">palidzibas_d(H481,I481)</f>
        <v>0</v>
      </c>
      <c r="K481" s="13">
        <f>IFERROR(('Invoice Data'!$B481+'Invoice Data'!$D481-'Invoice Data'!$F481-'Invoice Data'!$J481+'Invoice Data'!$G481),"Kluda!")</f>
        <v>7869</v>
      </c>
      <c r="L481" s="13">
        <v>0</v>
      </c>
      <c r="M481" s="14" cm="1">
        <f t="array" ref="M481">IFERROR(jauna_bil(D481,F481,J481,B481,L481),"Kluda!")</f>
        <v>7869</v>
      </c>
    </row>
    <row r="482" spans="1:13" x14ac:dyDescent="0.25">
      <c r="A482" s="12">
        <v>35209</v>
      </c>
      <c r="B482" s="13">
        <v>0</v>
      </c>
      <c r="C482" s="12"/>
      <c r="D482" s="13">
        <v>3578</v>
      </c>
      <c r="E482" s="12">
        <v>1</v>
      </c>
      <c r="F482" s="13" cm="1">
        <f t="array" ref="F482">IFERROR(atlaide(E482,B482),"Kluda!")</f>
        <v>0</v>
      </c>
      <c r="G482" s="13"/>
      <c r="H482" s="12">
        <v>12</v>
      </c>
      <c r="I482" s="12"/>
      <c r="J482" s="13" cm="1">
        <f t="array" ref="J482">palidzibas_d(H482,I482)</f>
        <v>0</v>
      </c>
      <c r="K482" s="13">
        <f>IFERROR(('Invoice Data'!$B482+'Invoice Data'!$D482-'Invoice Data'!$F482-'Invoice Data'!$J482+'Invoice Data'!$G482),"Kluda!")</f>
        <v>3578</v>
      </c>
      <c r="L482" s="13">
        <v>0</v>
      </c>
      <c r="M482" s="14" cm="1">
        <f t="array" ref="M482">IFERROR(jauna_bil(D482,F482,J482,B482,L482),"Kluda!")</f>
        <v>3578</v>
      </c>
    </row>
    <row r="483" spans="1:13" x14ac:dyDescent="0.25">
      <c r="A483" s="12">
        <v>35218</v>
      </c>
      <c r="B483" s="13">
        <v>0</v>
      </c>
      <c r="C483" s="12"/>
      <c r="D483" s="13">
        <v>9650</v>
      </c>
      <c r="E483" s="12">
        <v>2</v>
      </c>
      <c r="F483" s="13" cm="1">
        <f t="array" ref="F483">IFERROR(atlaide(E483,B483),"Kluda!")</f>
        <v>0</v>
      </c>
      <c r="G483" s="13"/>
      <c r="H483" s="12">
        <v>8</v>
      </c>
      <c r="I483" s="12"/>
      <c r="J483" s="13" cm="1">
        <f t="array" ref="J483">palidzibas_d(H483,I483)</f>
        <v>0</v>
      </c>
      <c r="K483" s="13">
        <f>IFERROR(('Invoice Data'!$B483+'Invoice Data'!$D483-'Invoice Data'!$F483-'Invoice Data'!$J483+'Invoice Data'!$G483),"Kluda!")</f>
        <v>9650</v>
      </c>
      <c r="L483" s="13">
        <v>0</v>
      </c>
      <c r="M483" s="14" cm="1">
        <f t="array" ref="M483">IFERROR(jauna_bil(D483,F483,J483,B483,L483),"Kluda!")</f>
        <v>9650</v>
      </c>
    </row>
    <row r="484" spans="1:13" x14ac:dyDescent="0.25">
      <c r="A484" s="12">
        <v>35227</v>
      </c>
      <c r="B484" s="13">
        <v>0</v>
      </c>
      <c r="C484" s="12"/>
      <c r="D484" s="13">
        <v>9211</v>
      </c>
      <c r="E484" s="12">
        <v>2</v>
      </c>
      <c r="F484" s="13" cm="1">
        <f t="array" ref="F484">IFERROR(atlaide(E484,B484),"Kluda!")</f>
        <v>0</v>
      </c>
      <c r="G484" s="13"/>
      <c r="H484" s="12">
        <v>16</v>
      </c>
      <c r="I484" s="12"/>
      <c r="J484" s="13" cm="1">
        <f t="array" ref="J484">palidzibas_d(H484,I484)</f>
        <v>0</v>
      </c>
      <c r="K484" s="13">
        <f>IFERROR(('Invoice Data'!$B484+'Invoice Data'!$D484-'Invoice Data'!$F484-'Invoice Data'!$J484+'Invoice Data'!$G484),"Kluda!")</f>
        <v>9211</v>
      </c>
      <c r="L484" s="13">
        <v>0</v>
      </c>
      <c r="M484" s="14" cm="1">
        <f t="array" ref="M484">IFERROR(jauna_bil(D484,F484,J484,B484,L484),"Kluda!")</f>
        <v>9211</v>
      </c>
    </row>
    <row r="485" spans="1:13" x14ac:dyDescent="0.25">
      <c r="A485" s="12">
        <v>35236</v>
      </c>
      <c r="B485" s="13">
        <v>0</v>
      </c>
      <c r="C485" s="12"/>
      <c r="D485" s="13">
        <v>4926</v>
      </c>
      <c r="E485" s="12">
        <v>1</v>
      </c>
      <c r="F485" s="13" cm="1">
        <f t="array" ref="F485">IFERROR(atlaide(E485,B485),"Kluda!")</f>
        <v>0</v>
      </c>
      <c r="G485" s="13"/>
      <c r="H485" s="12">
        <v>2</v>
      </c>
      <c r="I485" s="12"/>
      <c r="J485" s="13" cm="1">
        <f t="array" ref="J485">palidzibas_d(H485,I485)</f>
        <v>0</v>
      </c>
      <c r="K485" s="13">
        <f>IFERROR(('Invoice Data'!$B485+'Invoice Data'!$D485-'Invoice Data'!$F485-'Invoice Data'!$J485+'Invoice Data'!$G485),"Kluda!")</f>
        <v>4926</v>
      </c>
      <c r="L485" s="13">
        <v>0</v>
      </c>
      <c r="M485" s="14" cm="1">
        <f t="array" ref="M485">IFERROR(jauna_bil(D485,F485,J485,B485,L485),"Kluda!")</f>
        <v>4926</v>
      </c>
    </row>
    <row r="486" spans="1:13" x14ac:dyDescent="0.25">
      <c r="A486" s="12">
        <v>35245</v>
      </c>
      <c r="B486" s="13">
        <v>0</v>
      </c>
      <c r="C486" s="12"/>
      <c r="D486" s="13">
        <v>5584</v>
      </c>
      <c r="E486" s="12">
        <v>1</v>
      </c>
      <c r="F486" s="13" cm="1">
        <f t="array" ref="F486">IFERROR(atlaide(E486,B486),"Kluda!")</f>
        <v>0</v>
      </c>
      <c r="G486" s="13"/>
      <c r="H486" s="12">
        <v>7</v>
      </c>
      <c r="I486" s="12"/>
      <c r="J486" s="13" cm="1">
        <f t="array" ref="J486">palidzibas_d(H486,I486)</f>
        <v>0</v>
      </c>
      <c r="K486" s="13">
        <f>IFERROR(('Invoice Data'!$B486+'Invoice Data'!$D486-'Invoice Data'!$F486-'Invoice Data'!$J486+'Invoice Data'!$G486),"Kluda!")</f>
        <v>5584</v>
      </c>
      <c r="L486" s="13">
        <v>0</v>
      </c>
      <c r="M486" s="14" cm="1">
        <f t="array" ref="M486">IFERROR(jauna_bil(D486,F486,J486,B486,L486),"Kluda!")</f>
        <v>5584</v>
      </c>
    </row>
    <row r="487" spans="1:13" x14ac:dyDescent="0.25">
      <c r="A487" s="12">
        <v>35254</v>
      </c>
      <c r="B487" s="13">
        <v>0</v>
      </c>
      <c r="C487" s="12"/>
      <c r="D487" s="13">
        <v>4973</v>
      </c>
      <c r="E487" s="12">
        <v>1</v>
      </c>
      <c r="F487" s="13" cm="1">
        <f t="array" ref="F487">IFERROR(atlaide(E487,B487),"Kluda!")</f>
        <v>0</v>
      </c>
      <c r="G487" s="13"/>
      <c r="H487" s="12">
        <v>10</v>
      </c>
      <c r="I487" s="12"/>
      <c r="J487" s="13" cm="1">
        <f t="array" ref="J487">palidzibas_d(H487,I487)</f>
        <v>0</v>
      </c>
      <c r="K487" s="13">
        <f>IFERROR(('Invoice Data'!$B487+'Invoice Data'!$D487-'Invoice Data'!$F487-'Invoice Data'!$J487+'Invoice Data'!$G487),"Kluda!")</f>
        <v>4973</v>
      </c>
      <c r="L487" s="13">
        <v>0</v>
      </c>
      <c r="M487" s="14" cm="1">
        <f t="array" ref="M487">IFERROR(jauna_bil(D487,F487,J487,B487,L487),"Kluda!")</f>
        <v>4973</v>
      </c>
    </row>
    <row r="488" spans="1:13" x14ac:dyDescent="0.25">
      <c r="A488" s="12">
        <v>35263</v>
      </c>
      <c r="B488" s="13">
        <v>0</v>
      </c>
      <c r="C488" s="12"/>
      <c r="D488" s="13">
        <v>9827</v>
      </c>
      <c r="E488" s="12">
        <v>2</v>
      </c>
      <c r="F488" s="13" cm="1">
        <f t="array" ref="F488">IFERROR(atlaide(E488,B488),"Kluda!")</f>
        <v>0</v>
      </c>
      <c r="G488" s="13"/>
      <c r="H488" s="12">
        <v>16</v>
      </c>
      <c r="I488" s="12"/>
      <c r="J488" s="13" cm="1">
        <f t="array" ref="J488">palidzibas_d(H488,I488)</f>
        <v>0</v>
      </c>
      <c r="K488" s="13">
        <f>IFERROR(('Invoice Data'!$B488+'Invoice Data'!$D488-'Invoice Data'!$F488-'Invoice Data'!$J488+'Invoice Data'!$G488),"Kluda!")</f>
        <v>9827</v>
      </c>
      <c r="L488" s="13">
        <v>0</v>
      </c>
      <c r="M488" s="14" cm="1">
        <f t="array" ref="M488">IFERROR(jauna_bil(D488,F488,J488,B488,L488),"Kluda!")</f>
        <v>9827</v>
      </c>
    </row>
    <row r="489" spans="1:13" x14ac:dyDescent="0.25">
      <c r="A489" s="12">
        <v>35272</v>
      </c>
      <c r="B489" s="13">
        <v>0</v>
      </c>
      <c r="C489" s="12"/>
      <c r="D489" s="13">
        <v>4434</v>
      </c>
      <c r="E489" s="12">
        <v>1</v>
      </c>
      <c r="F489" s="13" cm="1">
        <f t="array" ref="F489">IFERROR(atlaide(E489,B489),"Kluda!")</f>
        <v>0</v>
      </c>
      <c r="G489" s="13"/>
      <c r="H489" s="12">
        <v>2</v>
      </c>
      <c r="I489" s="12"/>
      <c r="J489" s="13" cm="1">
        <f t="array" ref="J489">palidzibas_d(H489,I489)</f>
        <v>0</v>
      </c>
      <c r="K489" s="13">
        <f>IFERROR(('Invoice Data'!$B489+'Invoice Data'!$D489-'Invoice Data'!$F489-'Invoice Data'!$J489+'Invoice Data'!$G489),"Kluda!")</f>
        <v>4434</v>
      </c>
      <c r="L489" s="13">
        <v>0</v>
      </c>
      <c r="M489" s="14" cm="1">
        <f t="array" ref="M489">IFERROR(jauna_bil(D489,F489,J489,B489,L489),"Kluda!")</f>
        <v>4434</v>
      </c>
    </row>
    <row r="490" spans="1:13" x14ac:dyDescent="0.25">
      <c r="A490" s="12">
        <v>35281</v>
      </c>
      <c r="B490" s="13">
        <v>0</v>
      </c>
      <c r="C490" s="12"/>
      <c r="D490" s="13">
        <v>3812</v>
      </c>
      <c r="E490" s="12">
        <v>1</v>
      </c>
      <c r="F490" s="13" cm="1">
        <f t="array" ref="F490">IFERROR(atlaide(E490,B490),"Kluda!")</f>
        <v>0</v>
      </c>
      <c r="G490" s="13"/>
      <c r="H490" s="12">
        <v>1</v>
      </c>
      <c r="I490" s="12"/>
      <c r="J490" s="13" cm="1">
        <f t="array" ref="J490">palidzibas_d(H490,I490)</f>
        <v>0</v>
      </c>
      <c r="K490" s="13">
        <f>IFERROR(('Invoice Data'!$B490+'Invoice Data'!$D490-'Invoice Data'!$F490-'Invoice Data'!$J490+'Invoice Data'!$G490),"Kluda!")</f>
        <v>3812</v>
      </c>
      <c r="L490" s="13">
        <v>0</v>
      </c>
      <c r="M490" s="14" cm="1">
        <f t="array" ref="M490">IFERROR(jauna_bil(D490,F490,J490,B490,L490),"Kluda!")</f>
        <v>3812</v>
      </c>
    </row>
    <row r="491" spans="1:13" x14ac:dyDescent="0.25">
      <c r="A491" s="12">
        <v>35290</v>
      </c>
      <c r="B491" s="13">
        <v>0</v>
      </c>
      <c r="C491" s="12"/>
      <c r="D491" s="13">
        <v>7182</v>
      </c>
      <c r="E491" s="12">
        <v>2</v>
      </c>
      <c r="F491" s="13" cm="1">
        <f t="array" ref="F491">IFERROR(atlaide(E491,B491),"Kluda!")</f>
        <v>0</v>
      </c>
      <c r="G491" s="13"/>
      <c r="H491" s="12">
        <v>14</v>
      </c>
      <c r="I491" s="12"/>
      <c r="J491" s="13" cm="1">
        <f t="array" ref="J491">palidzibas_d(H491,I491)</f>
        <v>0</v>
      </c>
      <c r="K491" s="13">
        <f>IFERROR(('Invoice Data'!$B491+'Invoice Data'!$D491-'Invoice Data'!$F491-'Invoice Data'!$J491+'Invoice Data'!$G491),"Kluda!")</f>
        <v>7182</v>
      </c>
      <c r="L491" s="13">
        <v>0</v>
      </c>
      <c r="M491" s="14" cm="1">
        <f t="array" ref="M491">IFERROR(jauna_bil(D491,F491,J491,B491,L491),"Kluda!")</f>
        <v>7182</v>
      </c>
    </row>
    <row r="492" spans="1:13" x14ac:dyDescent="0.25">
      <c r="A492" s="12">
        <v>35307</v>
      </c>
      <c r="B492" s="13">
        <v>0</v>
      </c>
      <c r="C492" s="12"/>
      <c r="D492" s="13">
        <v>4810</v>
      </c>
      <c r="E492" s="12">
        <v>1</v>
      </c>
      <c r="F492" s="13" cm="1">
        <f t="array" ref="F492">IFERROR(atlaide(E492,B492),"Kluda!")</f>
        <v>0</v>
      </c>
      <c r="G492" s="13"/>
      <c r="H492" s="12">
        <v>9</v>
      </c>
      <c r="I492" s="12"/>
      <c r="J492" s="13" cm="1">
        <f t="array" ref="J492">palidzibas_d(H492,I492)</f>
        <v>0</v>
      </c>
      <c r="K492" s="13">
        <f>IFERROR(('Invoice Data'!$B492+'Invoice Data'!$D492-'Invoice Data'!$F492-'Invoice Data'!$J492+'Invoice Data'!$G492),"Kluda!")</f>
        <v>4810</v>
      </c>
      <c r="L492" s="13">
        <v>0</v>
      </c>
      <c r="M492" s="14" cm="1">
        <f t="array" ref="M492">IFERROR(jauna_bil(D492,F492,J492,B492,L492),"Kluda!")</f>
        <v>4810</v>
      </c>
    </row>
    <row r="493" spans="1:13" x14ac:dyDescent="0.25">
      <c r="A493" s="12">
        <v>35316</v>
      </c>
      <c r="B493" s="13">
        <v>0</v>
      </c>
      <c r="C493" s="12"/>
      <c r="D493" s="13">
        <v>8549</v>
      </c>
      <c r="E493" s="12">
        <v>2</v>
      </c>
      <c r="F493" s="13" cm="1">
        <f t="array" ref="F493">IFERROR(atlaide(E493,B493),"Kluda!")</f>
        <v>0</v>
      </c>
      <c r="G493" s="13"/>
      <c r="H493" s="12">
        <v>3</v>
      </c>
      <c r="I493" s="12"/>
      <c r="J493" s="13" cm="1">
        <f t="array" ref="J493">palidzibas_d(H493,I493)</f>
        <v>0</v>
      </c>
      <c r="K493" s="13">
        <f>IFERROR(('Invoice Data'!$B493+'Invoice Data'!$D493-'Invoice Data'!$F493-'Invoice Data'!$J493+'Invoice Data'!$G493),"Kluda!")</f>
        <v>8549</v>
      </c>
      <c r="L493" s="13">
        <v>0</v>
      </c>
      <c r="M493" s="14" cm="1">
        <f t="array" ref="M493">IFERROR(jauna_bil(D493,F493,J493,B493,L493),"Kluda!")</f>
        <v>8549</v>
      </c>
    </row>
    <row r="494" spans="1:13" x14ac:dyDescent="0.25">
      <c r="A494" s="12">
        <v>35325</v>
      </c>
      <c r="B494" s="13">
        <v>0</v>
      </c>
      <c r="C494" s="12"/>
      <c r="D494" s="13">
        <v>4849</v>
      </c>
      <c r="E494" s="12">
        <v>1</v>
      </c>
      <c r="F494" s="13" cm="1">
        <f t="array" ref="F494">IFERROR(atlaide(E494,B494),"Kluda!")</f>
        <v>0</v>
      </c>
      <c r="G494" s="13"/>
      <c r="H494" s="12">
        <v>3</v>
      </c>
      <c r="I494" s="12"/>
      <c r="J494" s="13" cm="1">
        <f t="array" ref="J494">palidzibas_d(H494,I494)</f>
        <v>0</v>
      </c>
      <c r="K494" s="13">
        <f>IFERROR(('Invoice Data'!$B494+'Invoice Data'!$D494-'Invoice Data'!$F494-'Invoice Data'!$J494+'Invoice Data'!$G494),"Kluda!")</f>
        <v>4849</v>
      </c>
      <c r="L494" s="13">
        <v>0</v>
      </c>
      <c r="M494" s="14" cm="1">
        <f t="array" ref="M494">IFERROR(jauna_bil(D494,F494,J494,B494,L494),"Kluda!")</f>
        <v>4849</v>
      </c>
    </row>
    <row r="495" spans="1:13" x14ac:dyDescent="0.25">
      <c r="A495" s="12">
        <v>35334</v>
      </c>
      <c r="B495" s="13">
        <v>0</v>
      </c>
      <c r="C495" s="12"/>
      <c r="D495" s="13">
        <v>3522</v>
      </c>
      <c r="E495" s="12">
        <v>1</v>
      </c>
      <c r="F495" s="13" cm="1">
        <f t="array" ref="F495">IFERROR(atlaide(E495,B495),"Kluda!")</f>
        <v>0</v>
      </c>
      <c r="G495" s="13"/>
      <c r="H495" s="12">
        <v>16</v>
      </c>
      <c r="I495" s="12"/>
      <c r="J495" s="13" cm="1">
        <f t="array" ref="J495">palidzibas_d(H495,I495)</f>
        <v>0</v>
      </c>
      <c r="K495" s="13">
        <f>IFERROR(('Invoice Data'!$B495+'Invoice Data'!$D495-'Invoice Data'!$F495-'Invoice Data'!$J495+'Invoice Data'!$G495),"Kluda!")</f>
        <v>3522</v>
      </c>
      <c r="L495" s="13">
        <v>0</v>
      </c>
      <c r="M495" s="14" cm="1">
        <f t="array" ref="M495">IFERROR(jauna_bil(D495,F495,J495,B495,L495),"Kluda!")</f>
        <v>3522</v>
      </c>
    </row>
    <row r="496" spans="1:13" x14ac:dyDescent="0.25">
      <c r="A496" s="12">
        <v>35343</v>
      </c>
      <c r="B496" s="13">
        <v>0</v>
      </c>
      <c r="C496" s="12"/>
      <c r="D496" s="13">
        <v>5218</v>
      </c>
      <c r="E496" s="12">
        <v>1</v>
      </c>
      <c r="F496" s="13" cm="1">
        <f t="array" ref="F496">IFERROR(atlaide(E496,B496),"Kluda!")</f>
        <v>0</v>
      </c>
      <c r="G496" s="13"/>
      <c r="H496" s="12">
        <v>3</v>
      </c>
      <c r="I496" s="12"/>
      <c r="J496" s="13" cm="1">
        <f t="array" ref="J496">palidzibas_d(H496,I496)</f>
        <v>0</v>
      </c>
      <c r="K496" s="13">
        <f>IFERROR(('Invoice Data'!$B496+'Invoice Data'!$D496-'Invoice Data'!$F496-'Invoice Data'!$J496+'Invoice Data'!$G496),"Kluda!")</f>
        <v>5218</v>
      </c>
      <c r="L496" s="13">
        <v>0</v>
      </c>
      <c r="M496" s="14" cm="1">
        <f t="array" ref="M496">IFERROR(jauna_bil(D496,F496,J496,B496,L496),"Kluda!")</f>
        <v>5218</v>
      </c>
    </row>
    <row r="497" spans="1:13" x14ac:dyDescent="0.25">
      <c r="A497" s="12">
        <v>35352</v>
      </c>
      <c r="B497" s="13">
        <v>-1035</v>
      </c>
      <c r="C497" s="12" t="s">
        <v>2</v>
      </c>
      <c r="D497" s="13">
        <v>10024</v>
      </c>
      <c r="E497" s="12">
        <v>2</v>
      </c>
      <c r="F497" s="13" cm="1">
        <f t="array" ref="F497">IFERROR(atlaide(E497,B497),"Kluda!")</f>
        <v>-62.1</v>
      </c>
      <c r="G497" s="13"/>
      <c r="H497" s="12">
        <v>12</v>
      </c>
      <c r="I497" s="12"/>
      <c r="J497" s="13" cm="1">
        <f t="array" ref="J497">palidzibas_d(H497,I497)</f>
        <v>0</v>
      </c>
      <c r="K497" s="13">
        <f>IFERROR(('Invoice Data'!$B497+'Invoice Data'!$D497-'Invoice Data'!$F497-'Invoice Data'!$J497+'Invoice Data'!$G497),"Kluda!")</f>
        <v>9051.1</v>
      </c>
      <c r="L497" s="13">
        <v>0</v>
      </c>
      <c r="M497" s="14" cm="1">
        <f t="array" ref="M497">IFERROR(jauna_bil(D497,F497,J497,B497,L497),"Kluda!")</f>
        <v>11121.1</v>
      </c>
    </row>
    <row r="498" spans="1:13" x14ac:dyDescent="0.25">
      <c r="A498" s="12">
        <v>35361</v>
      </c>
      <c r="B498" s="13">
        <v>0</v>
      </c>
      <c r="C498" s="12"/>
      <c r="D498" s="13">
        <v>4965</v>
      </c>
      <c r="E498" s="12">
        <v>1</v>
      </c>
      <c r="F498" s="13" cm="1">
        <f t="array" ref="F498">IFERROR(atlaide(E498,B498),"Kluda!")</f>
        <v>0</v>
      </c>
      <c r="G498" s="13"/>
      <c r="H498" s="12">
        <v>8</v>
      </c>
      <c r="I498" s="12"/>
      <c r="J498" s="13" cm="1">
        <f t="array" ref="J498">palidzibas_d(H498,I498)</f>
        <v>0</v>
      </c>
      <c r="K498" s="13">
        <f>IFERROR(('Invoice Data'!$B498+'Invoice Data'!$D498-'Invoice Data'!$F498-'Invoice Data'!$J498+'Invoice Data'!$G498),"Kluda!")</f>
        <v>4965</v>
      </c>
      <c r="L498" s="13">
        <v>0</v>
      </c>
      <c r="M498" s="14" cm="1">
        <f t="array" ref="M498">IFERROR(jauna_bil(D498,F498,J498,B498,L498),"Kluda!")</f>
        <v>4965</v>
      </c>
    </row>
    <row r="499" spans="1:13" x14ac:dyDescent="0.25">
      <c r="A499" s="12">
        <v>35370</v>
      </c>
      <c r="B499" s="13">
        <v>0</v>
      </c>
      <c r="C499" s="12"/>
      <c r="D499" s="13">
        <v>8108</v>
      </c>
      <c r="E499" s="12">
        <v>2</v>
      </c>
      <c r="F499" s="13" cm="1">
        <f t="array" ref="F499">IFERROR(atlaide(E499,B499),"Kluda!")</f>
        <v>0</v>
      </c>
      <c r="G499" s="13"/>
      <c r="H499" s="12">
        <v>14</v>
      </c>
      <c r="I499" s="12"/>
      <c r="J499" s="13" cm="1">
        <f t="array" ref="J499">palidzibas_d(H499,I499)</f>
        <v>0</v>
      </c>
      <c r="K499" s="13">
        <f>IFERROR(('Invoice Data'!$B499+'Invoice Data'!$D499-'Invoice Data'!$F499-'Invoice Data'!$J499+'Invoice Data'!$G499),"Kluda!")</f>
        <v>8108</v>
      </c>
      <c r="L499" s="13">
        <v>0</v>
      </c>
      <c r="M499" s="14" cm="1">
        <f t="array" ref="M499">IFERROR(jauna_bil(D499,F499,J499,B499,L499),"Kluda!")</f>
        <v>8108</v>
      </c>
    </row>
    <row r="500" spans="1:13" x14ac:dyDescent="0.25">
      <c r="A500" s="12">
        <v>35389</v>
      </c>
      <c r="B500" s="13">
        <v>0</v>
      </c>
      <c r="C500" s="12"/>
      <c r="D500" s="13">
        <v>8678</v>
      </c>
      <c r="E500" s="12">
        <v>2</v>
      </c>
      <c r="F500" s="13" cm="1">
        <f t="array" ref="F500">IFERROR(atlaide(E500,B500),"Kluda!")</f>
        <v>0</v>
      </c>
      <c r="G500" s="13"/>
      <c r="H500" s="12">
        <v>9</v>
      </c>
      <c r="I500" s="12"/>
      <c r="J500" s="13" cm="1">
        <f t="array" ref="J500">palidzibas_d(H500,I500)</f>
        <v>0</v>
      </c>
      <c r="K500" s="13">
        <f>IFERROR(('Invoice Data'!$B500+'Invoice Data'!$D500-'Invoice Data'!$F500-'Invoice Data'!$J500+'Invoice Data'!$G500),"Kluda!")</f>
        <v>8678</v>
      </c>
      <c r="L500" s="13">
        <v>0</v>
      </c>
      <c r="M500" s="14" cm="1">
        <f t="array" ref="M500">IFERROR(jauna_bil(D500,F500,J500,B500,L500),"Kluda!")</f>
        <v>8678</v>
      </c>
    </row>
    <row r="501" spans="1:13" x14ac:dyDescent="0.25">
      <c r="A501" s="12">
        <v>35398</v>
      </c>
      <c r="B501" s="13">
        <v>0</v>
      </c>
      <c r="C501" s="12"/>
      <c r="D501" s="13">
        <v>7324</v>
      </c>
      <c r="E501" s="12">
        <v>2</v>
      </c>
      <c r="F501" s="13" cm="1">
        <f t="array" ref="F501">IFERROR(atlaide(E501,B501),"Kluda!")</f>
        <v>0</v>
      </c>
      <c r="G501" s="13"/>
      <c r="H501" s="12">
        <v>4</v>
      </c>
      <c r="I501" s="12"/>
      <c r="J501" s="13" cm="1">
        <f t="array" ref="J501">palidzibas_d(H501,I501)</f>
        <v>0</v>
      </c>
      <c r="K501" s="13">
        <f>IFERROR(('Invoice Data'!$B501+'Invoice Data'!$D501-'Invoice Data'!$F501-'Invoice Data'!$J501+'Invoice Data'!$G501),"Kluda!")</f>
        <v>7324</v>
      </c>
      <c r="L501" s="13">
        <v>0</v>
      </c>
      <c r="M501" s="14" cm="1">
        <f t="array" ref="M501">IFERROR(jauna_bil(D501,F501,J501,B501,L501),"Kluda!")</f>
        <v>7324</v>
      </c>
    </row>
    <row r="502" spans="1:13" x14ac:dyDescent="0.25">
      <c r="A502" s="12">
        <v>35405</v>
      </c>
      <c r="B502" s="13">
        <v>0</v>
      </c>
      <c r="C502" s="12"/>
      <c r="D502" s="13">
        <v>3398</v>
      </c>
      <c r="E502" s="12">
        <v>1</v>
      </c>
      <c r="F502" s="13" cm="1">
        <f t="array" ref="F502">IFERROR(atlaide(E502,B502),"Kluda!")</f>
        <v>0</v>
      </c>
      <c r="G502" s="13"/>
      <c r="H502" s="12">
        <v>10</v>
      </c>
      <c r="I502" s="12"/>
      <c r="J502" s="13" cm="1">
        <f t="array" ref="J502">palidzibas_d(H502,I502)</f>
        <v>0</v>
      </c>
      <c r="K502" s="13">
        <f>IFERROR(('Invoice Data'!$B502+'Invoice Data'!$D502-'Invoice Data'!$F502-'Invoice Data'!$J502+'Invoice Data'!$G502),"Kluda!")</f>
        <v>3398</v>
      </c>
      <c r="L502" s="13">
        <v>0</v>
      </c>
      <c r="M502" s="14" cm="1">
        <f t="array" ref="M502">IFERROR(jauna_bil(D502,F502,J502,B502,L502),"Kluda!")</f>
        <v>3398</v>
      </c>
    </row>
    <row r="503" spans="1:13" x14ac:dyDescent="0.25">
      <c r="A503" s="12">
        <v>35414</v>
      </c>
      <c r="B503" s="13">
        <v>0</v>
      </c>
      <c r="C503" s="12"/>
      <c r="D503" s="13">
        <v>7725</v>
      </c>
      <c r="E503" s="12">
        <v>2</v>
      </c>
      <c r="F503" s="13" cm="1">
        <f t="array" ref="F503">IFERROR(atlaide(E503,B503),"Kluda!")</f>
        <v>0</v>
      </c>
      <c r="G503" s="13"/>
      <c r="H503" s="12">
        <v>10</v>
      </c>
      <c r="I503" s="12"/>
      <c r="J503" s="13" cm="1">
        <f t="array" ref="J503">palidzibas_d(H503,I503)</f>
        <v>0</v>
      </c>
      <c r="K503" s="13">
        <f>IFERROR(('Invoice Data'!$B503+'Invoice Data'!$D503-'Invoice Data'!$F503-'Invoice Data'!$J503+'Invoice Data'!$G503),"Kluda!")</f>
        <v>7725</v>
      </c>
      <c r="L503" s="13">
        <v>0</v>
      </c>
      <c r="M503" s="14" cm="1">
        <f t="array" ref="M503">IFERROR(jauna_bil(D503,F503,J503,B503,L503),"Kluda!")</f>
        <v>7725</v>
      </c>
    </row>
    <row r="504" spans="1:13" x14ac:dyDescent="0.25">
      <c r="A504" s="12">
        <v>35423</v>
      </c>
      <c r="B504" s="13">
        <v>-2178</v>
      </c>
      <c r="C504" s="12"/>
      <c r="D504" s="13">
        <v>8181</v>
      </c>
      <c r="E504" s="12">
        <v>2</v>
      </c>
      <c r="F504" s="13" cm="1">
        <f t="array" ref="F504">IFERROR(atlaide(E504,B504),"Kluda!")</f>
        <v>-130.68</v>
      </c>
      <c r="G504" s="13"/>
      <c r="H504" s="12">
        <v>12</v>
      </c>
      <c r="I504" s="12"/>
      <c r="J504" s="13" cm="1">
        <f t="array" ref="J504">palidzibas_d(H504,I504)</f>
        <v>0</v>
      </c>
      <c r="K504" s="13">
        <f>IFERROR(('Invoice Data'!$B504+'Invoice Data'!$D504-'Invoice Data'!$F504-'Invoice Data'!$J504+'Invoice Data'!$G504),"Kluda!")</f>
        <v>6133.68</v>
      </c>
      <c r="L504" s="13">
        <v>0</v>
      </c>
      <c r="M504" s="14" cm="1">
        <f t="array" ref="M504">IFERROR(jauna_bil(D504,F504,J504,B504,L504),"Kluda!")</f>
        <v>10489.68</v>
      </c>
    </row>
    <row r="505" spans="1:13" x14ac:dyDescent="0.25">
      <c r="A505" s="12">
        <v>35432</v>
      </c>
      <c r="B505" s="13">
        <v>0</v>
      </c>
      <c r="C505" s="12"/>
      <c r="D505" s="13">
        <v>3615</v>
      </c>
      <c r="E505" s="12">
        <v>1</v>
      </c>
      <c r="F505" s="13" cm="1">
        <f t="array" ref="F505">IFERROR(atlaide(E505,B505),"Kluda!")</f>
        <v>0</v>
      </c>
      <c r="G505" s="13"/>
      <c r="H505" s="12">
        <v>10</v>
      </c>
      <c r="I505" s="12"/>
      <c r="J505" s="13" cm="1">
        <f t="array" ref="J505">palidzibas_d(H505,I505)</f>
        <v>0</v>
      </c>
      <c r="K505" s="13">
        <f>IFERROR(('Invoice Data'!$B505+'Invoice Data'!$D505-'Invoice Data'!$F505-'Invoice Data'!$J505+'Invoice Data'!$G505),"Kluda!")</f>
        <v>3615</v>
      </c>
      <c r="L505" s="13">
        <v>0</v>
      </c>
      <c r="M505" s="14" cm="1">
        <f t="array" ref="M505">IFERROR(jauna_bil(D505,F505,J505,B505,L505),"Kluda!")</f>
        <v>3615</v>
      </c>
    </row>
    <row r="506" spans="1:13" x14ac:dyDescent="0.25">
      <c r="A506" s="12">
        <v>35441</v>
      </c>
      <c r="B506" s="13">
        <v>0</v>
      </c>
      <c r="C506" s="12"/>
      <c r="D506" s="13">
        <v>9488</v>
      </c>
      <c r="E506" s="12">
        <v>2</v>
      </c>
      <c r="F506" s="13" cm="1">
        <f t="array" ref="F506">IFERROR(atlaide(E506,B506),"Kluda!")</f>
        <v>0</v>
      </c>
      <c r="G506" s="13"/>
      <c r="H506" s="12">
        <v>2</v>
      </c>
      <c r="I506" s="12"/>
      <c r="J506" s="13" cm="1">
        <f t="array" ref="J506">palidzibas_d(H506,I506)</f>
        <v>0</v>
      </c>
      <c r="K506" s="13">
        <f>IFERROR(('Invoice Data'!$B506+'Invoice Data'!$D506-'Invoice Data'!$F506-'Invoice Data'!$J506+'Invoice Data'!$G506),"Kluda!")</f>
        <v>9488</v>
      </c>
      <c r="L506" s="13">
        <v>0</v>
      </c>
      <c r="M506" s="14" cm="1">
        <f t="array" ref="M506">IFERROR(jauna_bil(D506,F506,J506,B506,L506),"Kluda!")</f>
        <v>9488</v>
      </c>
    </row>
    <row r="507" spans="1:13" x14ac:dyDescent="0.25">
      <c r="A507" s="12">
        <v>35450</v>
      </c>
      <c r="B507" s="13">
        <v>0</v>
      </c>
      <c r="C507" s="12"/>
      <c r="D507" s="13">
        <v>4612</v>
      </c>
      <c r="E507" s="12">
        <v>1</v>
      </c>
      <c r="F507" s="13" cm="1">
        <f t="array" ref="F507">IFERROR(atlaide(E507,B507),"Kluda!")</f>
        <v>0</v>
      </c>
      <c r="G507" s="13"/>
      <c r="H507" s="12">
        <v>3</v>
      </c>
      <c r="I507" s="12"/>
      <c r="J507" s="13" cm="1">
        <f t="array" ref="J507">palidzibas_d(H507,I507)</f>
        <v>0</v>
      </c>
      <c r="K507" s="13">
        <f>IFERROR(('Invoice Data'!$B507+'Invoice Data'!$D507-'Invoice Data'!$F507-'Invoice Data'!$J507+'Invoice Data'!$G507),"Kluda!")</f>
        <v>4612</v>
      </c>
      <c r="L507" s="13">
        <v>0</v>
      </c>
      <c r="M507" s="14" cm="1">
        <f t="array" ref="M507">IFERROR(jauna_bil(D507,F507,J507,B507,L507),"Kluda!")</f>
        <v>4612</v>
      </c>
    </row>
    <row r="508" spans="1:13" x14ac:dyDescent="0.25">
      <c r="A508" s="12">
        <v>35469</v>
      </c>
      <c r="B508" s="13">
        <v>0</v>
      </c>
      <c r="C508" s="12"/>
      <c r="D508" s="13">
        <v>6866</v>
      </c>
      <c r="E508" s="12">
        <v>2</v>
      </c>
      <c r="F508" s="13" cm="1">
        <f t="array" ref="F508">IFERROR(atlaide(E508,B508),"Kluda!")</f>
        <v>0</v>
      </c>
      <c r="G508" s="13"/>
      <c r="H508" s="12">
        <v>12</v>
      </c>
      <c r="I508" s="12"/>
      <c r="J508" s="13" cm="1">
        <f t="array" ref="J508">palidzibas_d(H508,I508)</f>
        <v>0</v>
      </c>
      <c r="K508" s="13">
        <f>IFERROR(('Invoice Data'!$B508+'Invoice Data'!$D508-'Invoice Data'!$F508-'Invoice Data'!$J508+'Invoice Data'!$G508),"Kluda!")</f>
        <v>6866</v>
      </c>
      <c r="L508" s="13">
        <v>0</v>
      </c>
      <c r="M508" s="14" cm="1">
        <f t="array" ref="M508">IFERROR(jauna_bil(D508,F508,J508,B508,L508),"Kluda!")</f>
        <v>6866</v>
      </c>
    </row>
    <row r="509" spans="1:13" x14ac:dyDescent="0.25">
      <c r="A509" s="12">
        <v>35478</v>
      </c>
      <c r="B509" s="13">
        <v>0</v>
      </c>
      <c r="C509" s="12"/>
      <c r="D509" s="13">
        <v>8705</v>
      </c>
      <c r="E509" s="12">
        <v>2</v>
      </c>
      <c r="F509" s="13" cm="1">
        <f t="array" ref="F509">IFERROR(atlaide(E509,B509),"Kluda!")</f>
        <v>0</v>
      </c>
      <c r="G509" s="13"/>
      <c r="H509" s="12">
        <v>13</v>
      </c>
      <c r="I509" s="12"/>
      <c r="J509" s="13" cm="1">
        <f t="array" ref="J509">palidzibas_d(H509,I509)</f>
        <v>0</v>
      </c>
      <c r="K509" s="13">
        <f>IFERROR(('Invoice Data'!$B509+'Invoice Data'!$D509-'Invoice Data'!$F509-'Invoice Data'!$J509+'Invoice Data'!$G509),"Kluda!")</f>
        <v>8705</v>
      </c>
      <c r="L509" s="13">
        <v>0</v>
      </c>
      <c r="M509" s="14" cm="1">
        <f t="array" ref="M509">IFERROR(jauna_bil(D509,F509,J509,B509,L509),"Kluda!")</f>
        <v>8705</v>
      </c>
    </row>
    <row r="510" spans="1:13" x14ac:dyDescent="0.25">
      <c r="A510" s="12">
        <v>35487</v>
      </c>
      <c r="B510" s="13">
        <v>0</v>
      </c>
      <c r="C510" s="12"/>
      <c r="D510" s="13">
        <v>4046</v>
      </c>
      <c r="E510" s="12">
        <v>1</v>
      </c>
      <c r="F510" s="13" cm="1">
        <f t="array" ref="F510">IFERROR(atlaide(E510,B510),"Kluda!")</f>
        <v>0</v>
      </c>
      <c r="G510" s="13"/>
      <c r="H510" s="12">
        <v>0</v>
      </c>
      <c r="I510" s="12"/>
      <c r="J510" s="13" cm="1">
        <f t="array" ref="J510">palidzibas_d(H510,I510)</f>
        <v>0</v>
      </c>
      <c r="K510" s="13">
        <f>IFERROR(('Invoice Data'!$B510+'Invoice Data'!$D510-'Invoice Data'!$F510-'Invoice Data'!$J510+'Invoice Data'!$G510),"Kluda!")</f>
        <v>4046</v>
      </c>
      <c r="L510" s="13">
        <v>0</v>
      </c>
      <c r="M510" s="14" cm="1">
        <f t="array" ref="M510">IFERROR(jauna_bil(D510,F510,J510,B510,L510),"Kluda!")</f>
        <v>4046</v>
      </c>
    </row>
    <row r="511" spans="1:13" x14ac:dyDescent="0.25">
      <c r="A511" s="12">
        <v>35496</v>
      </c>
      <c r="B511" s="13">
        <v>0</v>
      </c>
      <c r="C511" s="12"/>
      <c r="D511" s="13">
        <v>9798</v>
      </c>
      <c r="E511" s="12">
        <v>2</v>
      </c>
      <c r="F511" s="13" cm="1">
        <f t="array" ref="F511">IFERROR(atlaide(E511,B511),"Kluda!")</f>
        <v>0</v>
      </c>
      <c r="G511" s="13"/>
      <c r="H511" s="12">
        <v>8</v>
      </c>
      <c r="I511" s="12"/>
      <c r="J511" s="13" cm="1">
        <f t="array" ref="J511">palidzibas_d(H511,I511)</f>
        <v>0</v>
      </c>
      <c r="K511" s="13">
        <f>IFERROR(('Invoice Data'!$B511+'Invoice Data'!$D511-'Invoice Data'!$F511-'Invoice Data'!$J511+'Invoice Data'!$G511),"Kluda!")</f>
        <v>9798</v>
      </c>
      <c r="L511" s="13">
        <v>0</v>
      </c>
      <c r="M511" s="14" cm="1">
        <f t="array" ref="M511">IFERROR(jauna_bil(D511,F511,J511,B511,L511),"Kluda!")</f>
        <v>9798</v>
      </c>
    </row>
    <row r="512" spans="1:13" x14ac:dyDescent="0.25">
      <c r="A512" s="12">
        <v>35502</v>
      </c>
      <c r="B512" s="13">
        <v>0</v>
      </c>
      <c r="C512" s="12"/>
      <c r="D512" s="13">
        <v>6567</v>
      </c>
      <c r="E512" s="12">
        <v>2</v>
      </c>
      <c r="F512" s="13" cm="1">
        <f t="array" ref="F512">IFERROR(atlaide(E512,B512),"Kluda!")</f>
        <v>0</v>
      </c>
      <c r="G512" s="13"/>
      <c r="H512" s="12">
        <v>9</v>
      </c>
      <c r="I512" s="12"/>
      <c r="J512" s="13" cm="1">
        <f t="array" ref="J512">palidzibas_d(H512,I512)</f>
        <v>0</v>
      </c>
      <c r="K512" s="13">
        <f>IFERROR(('Invoice Data'!$B512+'Invoice Data'!$D512-'Invoice Data'!$F512-'Invoice Data'!$J512+'Invoice Data'!$G512),"Kluda!")</f>
        <v>6567</v>
      </c>
      <c r="L512" s="13">
        <v>0</v>
      </c>
      <c r="M512" s="14" cm="1">
        <f t="array" ref="M512">IFERROR(jauna_bil(D512,F512,J512,B512,L512),"Kluda!")</f>
        <v>6567</v>
      </c>
    </row>
    <row r="513" spans="1:13" x14ac:dyDescent="0.25">
      <c r="A513" s="12">
        <v>35511</v>
      </c>
      <c r="B513" s="13">
        <v>0</v>
      </c>
      <c r="C513" s="12"/>
      <c r="D513" s="13">
        <v>3701</v>
      </c>
      <c r="E513" s="12">
        <v>1</v>
      </c>
      <c r="F513" s="13" cm="1">
        <f t="array" ref="F513">IFERROR(atlaide(E513,B513),"Kluda!")</f>
        <v>0</v>
      </c>
      <c r="G513" s="13"/>
      <c r="H513" s="12">
        <v>2</v>
      </c>
      <c r="I513" s="12"/>
      <c r="J513" s="13" cm="1">
        <f t="array" ref="J513">palidzibas_d(H513,I513)</f>
        <v>0</v>
      </c>
      <c r="K513" s="13">
        <f>IFERROR(('Invoice Data'!$B513+'Invoice Data'!$D513-'Invoice Data'!$F513-'Invoice Data'!$J513+'Invoice Data'!$G513),"Kluda!")</f>
        <v>3701</v>
      </c>
      <c r="L513" s="13">
        <v>0</v>
      </c>
      <c r="M513" s="14" cm="1">
        <f t="array" ref="M513">IFERROR(jauna_bil(D513,F513,J513,B513,L513),"Kluda!")</f>
        <v>3701</v>
      </c>
    </row>
    <row r="514" spans="1:13" x14ac:dyDescent="0.25">
      <c r="A514" s="12">
        <v>35520</v>
      </c>
      <c r="B514" s="13">
        <v>0</v>
      </c>
      <c r="C514" s="12"/>
      <c r="D514" s="13">
        <v>8012</v>
      </c>
      <c r="E514" s="12">
        <v>2</v>
      </c>
      <c r="F514" s="13" cm="1">
        <f t="array" ref="F514">IFERROR(atlaide(E514,B514),"Kluda!")</f>
        <v>0</v>
      </c>
      <c r="G514" s="13"/>
      <c r="H514" s="12">
        <v>0</v>
      </c>
      <c r="I514" s="12"/>
      <c r="J514" s="13" cm="1">
        <f t="array" ref="J514">palidzibas_d(H514,I514)</f>
        <v>0</v>
      </c>
      <c r="K514" s="13">
        <f>IFERROR(('Invoice Data'!$B514+'Invoice Data'!$D514-'Invoice Data'!$F514-'Invoice Data'!$J514+'Invoice Data'!$G514),"Kluda!")</f>
        <v>8012</v>
      </c>
      <c r="L514" s="13">
        <v>0</v>
      </c>
      <c r="M514" s="14" cm="1">
        <f t="array" ref="M514">IFERROR(jauna_bil(D514,F514,J514,B514,L514),"Kluda!")</f>
        <v>8012</v>
      </c>
    </row>
    <row r="515" spans="1:13" x14ac:dyDescent="0.25">
      <c r="A515" s="12">
        <v>35539</v>
      </c>
      <c r="B515" s="13">
        <v>0</v>
      </c>
      <c r="C515" s="12"/>
      <c r="D515" s="13">
        <v>8859</v>
      </c>
      <c r="E515" s="12">
        <v>2</v>
      </c>
      <c r="F515" s="13" cm="1">
        <f t="array" ref="F515">IFERROR(atlaide(E515,B515),"Kluda!")</f>
        <v>0</v>
      </c>
      <c r="G515" s="13"/>
      <c r="H515" s="12">
        <v>11</v>
      </c>
      <c r="I515" s="12"/>
      <c r="J515" s="13" cm="1">
        <f t="array" ref="J515">palidzibas_d(H515,I515)</f>
        <v>0</v>
      </c>
      <c r="K515" s="13">
        <f>IFERROR(('Invoice Data'!$B515+'Invoice Data'!$D515-'Invoice Data'!$F515-'Invoice Data'!$J515+'Invoice Data'!$G515),"Kluda!")</f>
        <v>8859</v>
      </c>
      <c r="L515" s="13">
        <v>0</v>
      </c>
      <c r="M515" s="14" cm="1">
        <f t="array" ref="M515">IFERROR(jauna_bil(D515,F515,J515,B515,L515),"Kluda!")</f>
        <v>8859</v>
      </c>
    </row>
    <row r="516" spans="1:13" x14ac:dyDescent="0.25">
      <c r="A516" s="12">
        <v>35548</v>
      </c>
      <c r="B516" s="13">
        <v>0</v>
      </c>
      <c r="C516" s="12"/>
      <c r="D516" s="13">
        <v>7598</v>
      </c>
      <c r="E516" s="12">
        <v>2</v>
      </c>
      <c r="F516" s="13" cm="1">
        <f t="array" ref="F516">IFERROR(atlaide(E516,B516),"Kluda!")</f>
        <v>0</v>
      </c>
      <c r="G516" s="13"/>
      <c r="H516" s="12">
        <v>11</v>
      </c>
      <c r="I516" s="12"/>
      <c r="J516" s="13" cm="1">
        <f t="array" ref="J516">palidzibas_d(H516,I516)</f>
        <v>0</v>
      </c>
      <c r="K516" s="13">
        <f>IFERROR(('Invoice Data'!$B516+'Invoice Data'!$D516-'Invoice Data'!$F516-'Invoice Data'!$J516+'Invoice Data'!$G516),"Kluda!")</f>
        <v>7598</v>
      </c>
      <c r="L516" s="13">
        <v>0</v>
      </c>
      <c r="M516" s="14" cm="1">
        <f t="array" ref="M516">IFERROR(jauna_bil(D516,F516,J516,B516,L516),"Kluda!")</f>
        <v>7598</v>
      </c>
    </row>
    <row r="517" spans="1:13" x14ac:dyDescent="0.25">
      <c r="A517" s="12">
        <v>35557</v>
      </c>
      <c r="B517" s="13">
        <v>0</v>
      </c>
      <c r="C517" s="12"/>
      <c r="D517" s="13">
        <v>7707</v>
      </c>
      <c r="E517" s="12">
        <v>2</v>
      </c>
      <c r="F517" s="13" cm="1">
        <f t="array" ref="F517">IFERROR(atlaide(E517,B517),"Kluda!")</f>
        <v>0</v>
      </c>
      <c r="G517" s="13"/>
      <c r="H517" s="12">
        <v>15</v>
      </c>
      <c r="I517" s="12"/>
      <c r="J517" s="13" cm="1">
        <f t="array" ref="J517">palidzibas_d(H517,I517)</f>
        <v>0</v>
      </c>
      <c r="K517" s="13">
        <f>IFERROR(('Invoice Data'!$B517+'Invoice Data'!$D517-'Invoice Data'!$F517-'Invoice Data'!$J517+'Invoice Data'!$G517),"Kluda!")</f>
        <v>7707</v>
      </c>
      <c r="L517" s="13">
        <v>0</v>
      </c>
      <c r="M517" s="14" cm="1">
        <f t="array" ref="M517">IFERROR(jauna_bil(D517,F517,J517,B517,L517),"Kluda!")</f>
        <v>7707</v>
      </c>
    </row>
    <row r="518" spans="1:13" x14ac:dyDescent="0.25">
      <c r="A518" s="12">
        <v>35566</v>
      </c>
      <c r="B518" s="13">
        <v>0</v>
      </c>
      <c r="C518" s="12"/>
      <c r="D518" s="13">
        <v>9684</v>
      </c>
      <c r="E518" s="12">
        <v>2</v>
      </c>
      <c r="F518" s="13" cm="1">
        <f t="array" ref="F518">IFERROR(atlaide(E518,B518),"Kluda!")</f>
        <v>0</v>
      </c>
      <c r="G518" s="13"/>
      <c r="H518" s="12">
        <v>15</v>
      </c>
      <c r="I518" s="12"/>
      <c r="J518" s="13" cm="1">
        <f t="array" ref="J518">palidzibas_d(H518,I518)</f>
        <v>0</v>
      </c>
      <c r="K518" s="13">
        <f>IFERROR(('Invoice Data'!$B518+'Invoice Data'!$D518-'Invoice Data'!$F518-'Invoice Data'!$J518+'Invoice Data'!$G518),"Kluda!")</f>
        <v>9684</v>
      </c>
      <c r="L518" s="13">
        <v>0</v>
      </c>
      <c r="M518" s="14" cm="1">
        <f t="array" ref="M518">IFERROR(jauna_bil(D518,F518,J518,B518,L518),"Kluda!")</f>
        <v>9684</v>
      </c>
    </row>
    <row r="519" spans="1:13" x14ac:dyDescent="0.25">
      <c r="A519" s="12">
        <v>35575</v>
      </c>
      <c r="B519" s="13">
        <v>0</v>
      </c>
      <c r="C519" s="12"/>
      <c r="D519" s="13">
        <v>5304</v>
      </c>
      <c r="E519" s="12">
        <v>1</v>
      </c>
      <c r="F519" s="13" cm="1">
        <f t="array" ref="F519">IFERROR(atlaide(E519,B519),"Kluda!")</f>
        <v>0</v>
      </c>
      <c r="G519" s="13"/>
      <c r="H519" s="12">
        <v>16</v>
      </c>
      <c r="I519" s="12"/>
      <c r="J519" s="13" cm="1">
        <f t="array" ref="J519">palidzibas_d(H519,I519)</f>
        <v>0</v>
      </c>
      <c r="K519" s="13">
        <f>IFERROR(('Invoice Data'!$B519+'Invoice Data'!$D519-'Invoice Data'!$F519-'Invoice Data'!$J519+'Invoice Data'!$G519),"Kluda!")</f>
        <v>5304</v>
      </c>
      <c r="L519" s="13">
        <v>0</v>
      </c>
      <c r="M519" s="14" cm="1">
        <f t="array" ref="M519">IFERROR(jauna_bil(D519,F519,J519,B519,L519),"Kluda!")</f>
        <v>5304</v>
      </c>
    </row>
    <row r="520" spans="1:13" x14ac:dyDescent="0.25">
      <c r="A520" s="12">
        <v>35584</v>
      </c>
      <c r="B520" s="13">
        <v>0</v>
      </c>
      <c r="C520" s="12"/>
      <c r="D520" s="13">
        <v>7161</v>
      </c>
      <c r="E520" s="12">
        <v>2</v>
      </c>
      <c r="F520" s="13" cm="1">
        <f t="array" ref="F520">IFERROR(atlaide(E520,B520),"Kluda!")</f>
        <v>0</v>
      </c>
      <c r="G520" s="13"/>
      <c r="H520" s="12">
        <v>13</v>
      </c>
      <c r="I520" s="12"/>
      <c r="J520" s="13" cm="1">
        <f t="array" ref="J520">palidzibas_d(H520,I520)</f>
        <v>0</v>
      </c>
      <c r="K520" s="13">
        <f>IFERROR(('Invoice Data'!$B520+'Invoice Data'!$D520-'Invoice Data'!$F520-'Invoice Data'!$J520+'Invoice Data'!$G520),"Kluda!")</f>
        <v>7161</v>
      </c>
      <c r="L520" s="13">
        <v>0</v>
      </c>
      <c r="M520" s="14" cm="1">
        <f t="array" ref="M520">IFERROR(jauna_bil(D520,F520,J520,B520,L520),"Kluda!")</f>
        <v>7161</v>
      </c>
    </row>
    <row r="521" spans="1:13" x14ac:dyDescent="0.25">
      <c r="A521" s="12">
        <v>35593</v>
      </c>
      <c r="B521" s="13">
        <v>0</v>
      </c>
      <c r="C521" s="12"/>
      <c r="D521" s="13">
        <v>8626</v>
      </c>
      <c r="E521" s="12">
        <v>2</v>
      </c>
      <c r="F521" s="13" cm="1">
        <f t="array" ref="F521">IFERROR(atlaide(E521,B521),"Kluda!")</f>
        <v>0</v>
      </c>
      <c r="G521" s="13"/>
      <c r="H521" s="12">
        <v>8</v>
      </c>
      <c r="I521" s="12"/>
      <c r="J521" s="13" cm="1">
        <f t="array" ref="J521">palidzibas_d(H521,I521)</f>
        <v>0</v>
      </c>
      <c r="K521" s="13">
        <f>IFERROR(('Invoice Data'!$B521+'Invoice Data'!$D521-'Invoice Data'!$F521-'Invoice Data'!$J521+'Invoice Data'!$G521),"Kluda!")</f>
        <v>8626</v>
      </c>
      <c r="L521" s="13">
        <v>0</v>
      </c>
      <c r="M521" s="14" cm="1">
        <f t="array" ref="M521">IFERROR(jauna_bil(D521,F521,J521,B521,L521),"Kluda!")</f>
        <v>8626</v>
      </c>
    </row>
    <row r="522" spans="1:13" x14ac:dyDescent="0.25">
      <c r="A522" s="12">
        <v>35600</v>
      </c>
      <c r="B522" s="13">
        <v>0</v>
      </c>
      <c r="C522" s="12"/>
      <c r="D522" s="13">
        <v>9925</v>
      </c>
      <c r="E522" s="12">
        <v>2</v>
      </c>
      <c r="F522" s="13" cm="1">
        <f t="array" ref="F522">IFERROR(atlaide(E522,B522),"Kluda!")</f>
        <v>0</v>
      </c>
      <c r="G522" s="13"/>
      <c r="H522" s="12">
        <v>8</v>
      </c>
      <c r="I522" s="12"/>
      <c r="J522" s="13" cm="1">
        <f t="array" ref="J522">palidzibas_d(H522,I522)</f>
        <v>0</v>
      </c>
      <c r="K522" s="13">
        <f>IFERROR(('Invoice Data'!$B522+'Invoice Data'!$D522-'Invoice Data'!$F522-'Invoice Data'!$J522+'Invoice Data'!$G522),"Kluda!")</f>
        <v>9925</v>
      </c>
      <c r="L522" s="13">
        <v>0</v>
      </c>
      <c r="M522" s="14" cm="1">
        <f t="array" ref="M522">IFERROR(jauna_bil(D522,F522,J522,B522,L522),"Kluda!")</f>
        <v>9925</v>
      </c>
    </row>
    <row r="523" spans="1:13" x14ac:dyDescent="0.25">
      <c r="A523" s="12">
        <v>35619</v>
      </c>
      <c r="B523" s="13">
        <v>0</v>
      </c>
      <c r="C523" s="12"/>
      <c r="D523" s="13">
        <v>9116</v>
      </c>
      <c r="E523" s="12">
        <v>2</v>
      </c>
      <c r="F523" s="13" cm="1">
        <f t="array" ref="F523">IFERROR(atlaide(E523,B523),"Kluda!")</f>
        <v>0</v>
      </c>
      <c r="G523" s="13"/>
      <c r="H523" s="12">
        <v>12</v>
      </c>
      <c r="I523" s="12"/>
      <c r="J523" s="13" cm="1">
        <f t="array" ref="J523">palidzibas_d(H523,I523)</f>
        <v>0</v>
      </c>
      <c r="K523" s="13">
        <f>IFERROR(('Invoice Data'!$B523+'Invoice Data'!$D523-'Invoice Data'!$F523-'Invoice Data'!$J523+'Invoice Data'!$G523),"Kluda!")</f>
        <v>9116</v>
      </c>
      <c r="L523" s="13">
        <v>0</v>
      </c>
      <c r="M523" s="14" cm="1">
        <f t="array" ref="M523">IFERROR(jauna_bil(D523,F523,J523,B523,L523),"Kluda!")</f>
        <v>9116</v>
      </c>
    </row>
    <row r="524" spans="1:13" x14ac:dyDescent="0.25">
      <c r="A524" s="12">
        <v>35628</v>
      </c>
      <c r="B524" s="13">
        <v>0</v>
      </c>
      <c r="C524" s="12"/>
      <c r="D524" s="13">
        <v>4556</v>
      </c>
      <c r="E524" s="12">
        <v>1</v>
      </c>
      <c r="F524" s="13" cm="1">
        <f t="array" ref="F524">IFERROR(atlaide(E524,B524),"Kluda!")</f>
        <v>0</v>
      </c>
      <c r="G524" s="13"/>
      <c r="H524" s="12">
        <v>7</v>
      </c>
      <c r="I524" s="12"/>
      <c r="J524" s="13" cm="1">
        <f t="array" ref="J524">palidzibas_d(H524,I524)</f>
        <v>0</v>
      </c>
      <c r="K524" s="13">
        <f>IFERROR(('Invoice Data'!$B524+'Invoice Data'!$D524-'Invoice Data'!$F524-'Invoice Data'!$J524+'Invoice Data'!$G524),"Kluda!")</f>
        <v>4556</v>
      </c>
      <c r="L524" s="13">
        <v>0</v>
      </c>
      <c r="M524" s="14" cm="1">
        <f t="array" ref="M524">IFERROR(jauna_bil(D524,F524,J524,B524,L524),"Kluda!")</f>
        <v>4556</v>
      </c>
    </row>
    <row r="525" spans="1:13" x14ac:dyDescent="0.25">
      <c r="A525" s="12">
        <v>35637</v>
      </c>
      <c r="B525" s="13">
        <v>0</v>
      </c>
      <c r="C525" s="12"/>
      <c r="D525" s="13">
        <v>4074</v>
      </c>
      <c r="E525" s="12">
        <v>1</v>
      </c>
      <c r="F525" s="13" cm="1">
        <f t="array" ref="F525">IFERROR(atlaide(E525,B525),"Kluda!")</f>
        <v>0</v>
      </c>
      <c r="G525" s="13"/>
      <c r="H525" s="12">
        <v>0</v>
      </c>
      <c r="I525" s="12" t="b">
        <v>1</v>
      </c>
      <c r="J525" s="13" cm="1">
        <f t="array" ref="J525">palidzibas_d(H525,I525)</f>
        <v>0</v>
      </c>
      <c r="K525" s="13">
        <f>IFERROR(('Invoice Data'!$B525+'Invoice Data'!$D525-'Invoice Data'!$F525-'Invoice Data'!$J525+'Invoice Data'!$G525),"Kluda!")</f>
        <v>4074</v>
      </c>
      <c r="L525" s="13">
        <v>0</v>
      </c>
      <c r="M525" s="14" cm="1">
        <f t="array" ref="M525">IFERROR(jauna_bil(D525,F525,J525,B525,L525),"Kluda!")</f>
        <v>4074</v>
      </c>
    </row>
    <row r="526" spans="1:13" x14ac:dyDescent="0.25">
      <c r="A526" s="12">
        <v>35646</v>
      </c>
      <c r="B526" s="13">
        <v>0</v>
      </c>
      <c r="C526" s="12"/>
      <c r="D526" s="13">
        <v>7245</v>
      </c>
      <c r="E526" s="12">
        <v>2</v>
      </c>
      <c r="F526" s="13" cm="1">
        <f t="array" ref="F526">IFERROR(atlaide(E526,B526),"Kluda!")</f>
        <v>0</v>
      </c>
      <c r="G526" s="13"/>
      <c r="H526" s="12">
        <v>14</v>
      </c>
      <c r="I526" s="12"/>
      <c r="J526" s="13" cm="1">
        <f t="array" ref="J526">palidzibas_d(H526,I526)</f>
        <v>0</v>
      </c>
      <c r="K526" s="13">
        <f>IFERROR(('Invoice Data'!$B526+'Invoice Data'!$D526-'Invoice Data'!$F526-'Invoice Data'!$J526+'Invoice Data'!$G526),"Kluda!")</f>
        <v>7245</v>
      </c>
      <c r="L526" s="13">
        <v>0</v>
      </c>
      <c r="M526" s="14" cm="1">
        <f t="array" ref="M526">IFERROR(jauna_bil(D526,F526,J526,B526,L526),"Kluda!")</f>
        <v>7245</v>
      </c>
    </row>
    <row r="527" spans="1:13" x14ac:dyDescent="0.25">
      <c r="A527" s="12">
        <v>35655</v>
      </c>
      <c r="B527" s="13">
        <v>0</v>
      </c>
      <c r="C527" s="12"/>
      <c r="D527" s="13">
        <v>8971</v>
      </c>
      <c r="E527" s="12">
        <v>2</v>
      </c>
      <c r="F527" s="13" cm="1">
        <f t="array" ref="F527">IFERROR(atlaide(E527,B527),"Kluda!")</f>
        <v>0</v>
      </c>
      <c r="G527" s="13"/>
      <c r="H527" s="12">
        <v>10</v>
      </c>
      <c r="I527" s="12"/>
      <c r="J527" s="13" cm="1">
        <f t="array" ref="J527">palidzibas_d(H527,I527)</f>
        <v>0</v>
      </c>
      <c r="K527" s="13">
        <f>IFERROR(('Invoice Data'!$B527+'Invoice Data'!$D527-'Invoice Data'!$F527-'Invoice Data'!$J527+'Invoice Data'!$G527),"Kluda!")</f>
        <v>8971</v>
      </c>
      <c r="L527" s="13">
        <v>0</v>
      </c>
      <c r="M527" s="14" cm="1">
        <f t="array" ref="M527">IFERROR(jauna_bil(D527,F527,J527,B527,L527),"Kluda!")</f>
        <v>8971</v>
      </c>
    </row>
    <row r="528" spans="1:13" x14ac:dyDescent="0.25">
      <c r="A528" s="12">
        <v>35664</v>
      </c>
      <c r="B528" s="13">
        <v>0</v>
      </c>
      <c r="C528" s="12"/>
      <c r="D528" s="13">
        <v>3676</v>
      </c>
      <c r="E528" s="12">
        <v>1</v>
      </c>
      <c r="F528" s="13" cm="1">
        <f t="array" ref="F528">IFERROR(atlaide(E528,B528),"Kluda!")</f>
        <v>0</v>
      </c>
      <c r="G528" s="13"/>
      <c r="H528" s="12">
        <v>4</v>
      </c>
      <c r="I528" s="12"/>
      <c r="J528" s="13" cm="1">
        <f t="array" ref="J528">palidzibas_d(H528,I528)</f>
        <v>0</v>
      </c>
      <c r="K528" s="13">
        <f>IFERROR(('Invoice Data'!$B528+'Invoice Data'!$D528-'Invoice Data'!$F528-'Invoice Data'!$J528+'Invoice Data'!$G528),"Kluda!")</f>
        <v>3676</v>
      </c>
      <c r="L528" s="13">
        <v>0</v>
      </c>
      <c r="M528" s="14" cm="1">
        <f t="array" ref="M528">IFERROR(jauna_bil(D528,F528,J528,B528,L528),"Kluda!")</f>
        <v>3676</v>
      </c>
    </row>
    <row r="529" spans="1:13" x14ac:dyDescent="0.25">
      <c r="A529" s="12">
        <v>35673</v>
      </c>
      <c r="B529" s="13">
        <v>0</v>
      </c>
      <c r="C529" s="12"/>
      <c r="D529" s="13">
        <v>4166</v>
      </c>
      <c r="E529" s="12">
        <v>1</v>
      </c>
      <c r="F529" s="13" cm="1">
        <f t="array" ref="F529">IFERROR(atlaide(E529,B529),"Kluda!")</f>
        <v>0</v>
      </c>
      <c r="G529" s="13"/>
      <c r="H529" s="12">
        <v>9</v>
      </c>
      <c r="I529" s="12"/>
      <c r="J529" s="13" cm="1">
        <f t="array" ref="J529">palidzibas_d(H529,I529)</f>
        <v>0</v>
      </c>
      <c r="K529" s="13">
        <f>IFERROR(('Invoice Data'!$B529+'Invoice Data'!$D529-'Invoice Data'!$F529-'Invoice Data'!$J529+'Invoice Data'!$G529),"Kluda!")</f>
        <v>4166</v>
      </c>
      <c r="L529" s="13">
        <v>0</v>
      </c>
      <c r="M529" s="14" cm="1">
        <f t="array" ref="M529">IFERROR(jauna_bil(D529,F529,J529,B529,L529),"Kluda!")</f>
        <v>4166</v>
      </c>
    </row>
    <row r="530" spans="1:13" x14ac:dyDescent="0.25">
      <c r="A530" s="12">
        <v>35682</v>
      </c>
      <c r="B530" s="13">
        <v>0</v>
      </c>
      <c r="C530" s="12"/>
      <c r="D530" s="13">
        <v>8439</v>
      </c>
      <c r="E530" s="12">
        <v>2</v>
      </c>
      <c r="F530" s="13" cm="1">
        <f t="array" ref="F530">IFERROR(atlaide(E530,B530),"Kluda!")</f>
        <v>0</v>
      </c>
      <c r="G530" s="13"/>
      <c r="H530" s="12">
        <v>5</v>
      </c>
      <c r="I530" s="12"/>
      <c r="J530" s="13" cm="1">
        <f t="array" ref="J530">palidzibas_d(H530,I530)</f>
        <v>0</v>
      </c>
      <c r="K530" s="13">
        <f>IFERROR(('Invoice Data'!$B530+'Invoice Data'!$D530-'Invoice Data'!$F530-'Invoice Data'!$J530+'Invoice Data'!$G530),"Kluda!")</f>
        <v>8439</v>
      </c>
      <c r="L530" s="13">
        <v>0</v>
      </c>
      <c r="M530" s="14" cm="1">
        <f t="array" ref="M530">IFERROR(jauna_bil(D530,F530,J530,B530,L530),"Kluda!")</f>
        <v>8439</v>
      </c>
    </row>
    <row r="531" spans="1:13" x14ac:dyDescent="0.25">
      <c r="A531" s="12">
        <v>35691</v>
      </c>
      <c r="B531" s="13">
        <v>0</v>
      </c>
      <c r="C531" s="12"/>
      <c r="D531" s="13">
        <v>10335</v>
      </c>
      <c r="E531" s="12">
        <v>2</v>
      </c>
      <c r="F531" s="13" cm="1">
        <f t="array" ref="F531">IFERROR(atlaide(E531,B531),"Kluda!")</f>
        <v>0</v>
      </c>
      <c r="G531" s="13"/>
      <c r="H531" s="12">
        <v>12</v>
      </c>
      <c r="I531" s="12"/>
      <c r="J531" s="13" cm="1">
        <f t="array" ref="J531">palidzibas_d(H531,I531)</f>
        <v>0</v>
      </c>
      <c r="K531" s="13">
        <f>IFERROR(('Invoice Data'!$B531+'Invoice Data'!$D531-'Invoice Data'!$F531-'Invoice Data'!$J531+'Invoice Data'!$G531),"Kluda!")</f>
        <v>10335</v>
      </c>
      <c r="L531" s="13">
        <v>0</v>
      </c>
      <c r="M531" s="14" cm="1">
        <f t="array" ref="M531">IFERROR(jauna_bil(D531,F531,J531,B531,L531),"Kluda!")</f>
        <v>10335</v>
      </c>
    </row>
    <row r="532" spans="1:13" x14ac:dyDescent="0.25">
      <c r="A532" s="12">
        <v>35708</v>
      </c>
      <c r="B532" s="13">
        <v>0</v>
      </c>
      <c r="C532" s="12"/>
      <c r="D532" s="13">
        <v>7430</v>
      </c>
      <c r="E532" s="12">
        <v>2</v>
      </c>
      <c r="F532" s="13" cm="1">
        <f t="array" ref="F532">IFERROR(atlaide(E532,B532),"Kluda!")</f>
        <v>0</v>
      </c>
      <c r="G532" s="13"/>
      <c r="H532" s="12">
        <v>6</v>
      </c>
      <c r="I532" s="12"/>
      <c r="J532" s="13" cm="1">
        <f t="array" ref="J532">palidzibas_d(H532,I532)</f>
        <v>0</v>
      </c>
      <c r="K532" s="13">
        <f>IFERROR(('Invoice Data'!$B532+'Invoice Data'!$D532-'Invoice Data'!$F532-'Invoice Data'!$J532+'Invoice Data'!$G532),"Kluda!")</f>
        <v>7430</v>
      </c>
      <c r="L532" s="13">
        <v>0</v>
      </c>
      <c r="M532" s="14" cm="1">
        <f t="array" ref="M532">IFERROR(jauna_bil(D532,F532,J532,B532,L532),"Kluda!")</f>
        <v>7430</v>
      </c>
    </row>
    <row r="533" spans="1:13" x14ac:dyDescent="0.25">
      <c r="A533" s="12">
        <v>35717</v>
      </c>
      <c r="B533" s="13">
        <v>-162</v>
      </c>
      <c r="C533" s="12"/>
      <c r="D533" s="13">
        <v>5113</v>
      </c>
      <c r="E533" s="12">
        <v>1</v>
      </c>
      <c r="F533" s="13" cm="1">
        <f t="array" ref="F533">IFERROR(atlaide(E533,B533),"Kluda!")</f>
        <v>-4.8600000000000003</v>
      </c>
      <c r="G533" s="13"/>
      <c r="H533" s="12">
        <v>7</v>
      </c>
      <c r="I533" s="12"/>
      <c r="J533" s="13" cm="1">
        <f t="array" ref="J533">palidzibas_d(H533,I533)</f>
        <v>0</v>
      </c>
      <c r="K533" s="13">
        <f>IFERROR(('Invoice Data'!$B533+'Invoice Data'!$D533-'Invoice Data'!$F533-'Invoice Data'!$J533+'Invoice Data'!$G533),"Kluda!")</f>
        <v>4955.8599999999997</v>
      </c>
      <c r="L533" s="13">
        <v>0</v>
      </c>
      <c r="M533" s="14" cm="1">
        <f t="array" ref="M533">IFERROR(jauna_bil(D533,F533,J533,B533,L533),"Kluda!")</f>
        <v>5279.86</v>
      </c>
    </row>
    <row r="534" spans="1:13" x14ac:dyDescent="0.25">
      <c r="A534" s="12">
        <v>35726</v>
      </c>
      <c r="B534" s="13">
        <v>0</v>
      </c>
      <c r="C534" s="12"/>
      <c r="D534" s="13">
        <v>8527</v>
      </c>
      <c r="E534" s="12">
        <v>2</v>
      </c>
      <c r="F534" s="13" cm="1">
        <f t="array" ref="F534">IFERROR(atlaide(E534,B534),"Kluda!")</f>
        <v>0</v>
      </c>
      <c r="G534" s="13"/>
      <c r="H534" s="12">
        <v>14</v>
      </c>
      <c r="I534" s="12"/>
      <c r="J534" s="13" cm="1">
        <f t="array" ref="J534">palidzibas_d(H534,I534)</f>
        <v>0</v>
      </c>
      <c r="K534" s="13">
        <f>IFERROR(('Invoice Data'!$B534+'Invoice Data'!$D534-'Invoice Data'!$F534-'Invoice Data'!$J534+'Invoice Data'!$G534),"Kluda!")</f>
        <v>8527</v>
      </c>
      <c r="L534" s="13">
        <v>0</v>
      </c>
      <c r="M534" s="14" cm="1">
        <f t="array" ref="M534">IFERROR(jauna_bil(D534,F534,J534,B534,L534),"Kluda!")</f>
        <v>8527</v>
      </c>
    </row>
    <row r="535" spans="1:13" x14ac:dyDescent="0.25">
      <c r="A535" s="12">
        <v>35735</v>
      </c>
      <c r="B535" s="13">
        <v>0</v>
      </c>
      <c r="C535" s="12"/>
      <c r="D535" s="13">
        <v>7431</v>
      </c>
      <c r="E535" s="12">
        <v>2</v>
      </c>
      <c r="F535" s="13" cm="1">
        <f t="array" ref="F535">IFERROR(atlaide(E535,B535),"Kluda!")</f>
        <v>0</v>
      </c>
      <c r="G535" s="13"/>
      <c r="H535" s="12">
        <v>0</v>
      </c>
      <c r="I535" s="12" t="b">
        <v>1</v>
      </c>
      <c r="J535" s="13" cm="1">
        <f t="array" ref="J535">palidzibas_d(H535,I535)</f>
        <v>0</v>
      </c>
      <c r="K535" s="13">
        <f>IFERROR(('Invoice Data'!$B535+'Invoice Data'!$D535-'Invoice Data'!$F535-'Invoice Data'!$J535+'Invoice Data'!$G535),"Kluda!")</f>
        <v>7431</v>
      </c>
      <c r="L535" s="13">
        <v>0</v>
      </c>
      <c r="M535" s="14" cm="1">
        <f t="array" ref="M535">IFERROR(jauna_bil(D535,F535,J535,B535,L535),"Kluda!")</f>
        <v>7431</v>
      </c>
    </row>
    <row r="536" spans="1:13" x14ac:dyDescent="0.25">
      <c r="A536" s="12">
        <v>35744</v>
      </c>
      <c r="B536" s="13">
        <v>0</v>
      </c>
      <c r="C536" s="12"/>
      <c r="D536" s="13">
        <v>4931</v>
      </c>
      <c r="E536" s="12">
        <v>1</v>
      </c>
      <c r="F536" s="13" cm="1">
        <f t="array" ref="F536">IFERROR(atlaide(E536,B536),"Kluda!")</f>
        <v>0</v>
      </c>
      <c r="G536" s="13"/>
      <c r="H536" s="12">
        <v>15</v>
      </c>
      <c r="I536" s="12"/>
      <c r="J536" s="13" cm="1">
        <f t="array" ref="J536">palidzibas_d(H536,I536)</f>
        <v>0</v>
      </c>
      <c r="K536" s="13">
        <f>IFERROR(('Invoice Data'!$B536+'Invoice Data'!$D536-'Invoice Data'!$F536-'Invoice Data'!$J536+'Invoice Data'!$G536),"Kluda!")</f>
        <v>4931</v>
      </c>
      <c r="L536" s="13">
        <v>0</v>
      </c>
      <c r="M536" s="14" cm="1">
        <f t="array" ref="M536">IFERROR(jauna_bil(D536,F536,J536,B536,L536),"Kluda!")</f>
        <v>4931</v>
      </c>
    </row>
    <row r="537" spans="1:13" x14ac:dyDescent="0.25">
      <c r="A537" s="12">
        <v>35753</v>
      </c>
      <c r="B537" s="13">
        <v>0</v>
      </c>
      <c r="C537" s="12"/>
      <c r="D537" s="13">
        <v>9918</v>
      </c>
      <c r="E537" s="12">
        <v>2</v>
      </c>
      <c r="F537" s="13" cm="1">
        <f t="array" ref="F537">IFERROR(atlaide(E537,B537),"Kluda!")</f>
        <v>0</v>
      </c>
      <c r="G537" s="13"/>
      <c r="H537" s="12">
        <v>3</v>
      </c>
      <c r="I537" s="12"/>
      <c r="J537" s="13" cm="1">
        <f t="array" ref="J537">palidzibas_d(H537,I537)</f>
        <v>0</v>
      </c>
      <c r="K537" s="13">
        <f>IFERROR(('Invoice Data'!$B537+'Invoice Data'!$D537-'Invoice Data'!$F537-'Invoice Data'!$J537+'Invoice Data'!$G537),"Kluda!")</f>
        <v>9918</v>
      </c>
      <c r="L537" s="13">
        <v>0</v>
      </c>
      <c r="M537" s="14" cm="1">
        <f t="array" ref="M537">IFERROR(jauna_bil(D537,F537,J537,B537,L537),"Kluda!")</f>
        <v>9918</v>
      </c>
    </row>
    <row r="538" spans="1:13" x14ac:dyDescent="0.25">
      <c r="A538" s="12">
        <v>35762</v>
      </c>
      <c r="B538" s="13">
        <v>0</v>
      </c>
      <c r="C538" s="12"/>
      <c r="D538" s="13">
        <v>4692</v>
      </c>
      <c r="E538" s="12">
        <v>1</v>
      </c>
      <c r="F538" s="13" cm="1">
        <f t="array" ref="F538">IFERROR(atlaide(E538,B538),"Kluda!")</f>
        <v>0</v>
      </c>
      <c r="G538" s="13"/>
      <c r="H538" s="12">
        <v>12</v>
      </c>
      <c r="I538" s="12"/>
      <c r="J538" s="13" cm="1">
        <f t="array" ref="J538">palidzibas_d(H538,I538)</f>
        <v>0</v>
      </c>
      <c r="K538" s="13">
        <f>IFERROR(('Invoice Data'!$B538+'Invoice Data'!$D538-'Invoice Data'!$F538-'Invoice Data'!$J538+'Invoice Data'!$G538),"Kluda!")</f>
        <v>4692</v>
      </c>
      <c r="L538" s="13">
        <v>0</v>
      </c>
      <c r="M538" s="14" cm="1">
        <f t="array" ref="M538">IFERROR(jauna_bil(D538,F538,J538,B538,L538),"Kluda!")</f>
        <v>4692</v>
      </c>
    </row>
    <row r="539" spans="1:13" x14ac:dyDescent="0.25">
      <c r="A539" s="12">
        <v>35771</v>
      </c>
      <c r="B539" s="13">
        <v>0</v>
      </c>
      <c r="C539" s="12"/>
      <c r="D539" s="13">
        <v>6712</v>
      </c>
      <c r="E539" s="12">
        <v>2</v>
      </c>
      <c r="F539" s="13" cm="1">
        <f t="array" ref="F539">IFERROR(atlaide(E539,B539),"Kluda!")</f>
        <v>0</v>
      </c>
      <c r="G539" s="13"/>
      <c r="H539" s="12">
        <v>8</v>
      </c>
      <c r="I539" s="12"/>
      <c r="J539" s="13" cm="1">
        <f t="array" ref="J539">palidzibas_d(H539,I539)</f>
        <v>0</v>
      </c>
      <c r="K539" s="13">
        <f>IFERROR(('Invoice Data'!$B539+'Invoice Data'!$D539-'Invoice Data'!$F539-'Invoice Data'!$J539+'Invoice Data'!$G539),"Kluda!")</f>
        <v>6712</v>
      </c>
      <c r="L539" s="13">
        <v>0</v>
      </c>
      <c r="M539" s="14" cm="1">
        <f t="array" ref="M539">IFERROR(jauna_bil(D539,F539,J539,B539,L539),"Kluda!")</f>
        <v>6712</v>
      </c>
    </row>
    <row r="540" spans="1:13" x14ac:dyDescent="0.25">
      <c r="A540" s="12">
        <v>35780</v>
      </c>
      <c r="B540" s="13">
        <v>0</v>
      </c>
      <c r="C540" s="12"/>
      <c r="D540" s="13">
        <v>7925</v>
      </c>
      <c r="E540" s="12">
        <v>2</v>
      </c>
      <c r="F540" s="13" cm="1">
        <f t="array" ref="F540">IFERROR(atlaide(E540,B540),"Kluda!")</f>
        <v>0</v>
      </c>
      <c r="G540" s="13"/>
      <c r="H540" s="12">
        <v>16</v>
      </c>
      <c r="I540" s="12"/>
      <c r="J540" s="13" cm="1">
        <f t="array" ref="J540">palidzibas_d(H540,I540)</f>
        <v>0</v>
      </c>
      <c r="K540" s="13">
        <f>IFERROR(('Invoice Data'!$B540+'Invoice Data'!$D540-'Invoice Data'!$F540-'Invoice Data'!$J540+'Invoice Data'!$G540),"Kluda!")</f>
        <v>7925</v>
      </c>
      <c r="L540" s="13">
        <v>0</v>
      </c>
      <c r="M540" s="14" cm="1">
        <f t="array" ref="M540">IFERROR(jauna_bil(D540,F540,J540,B540,L540),"Kluda!")</f>
        <v>7925</v>
      </c>
    </row>
    <row r="541" spans="1:13" x14ac:dyDescent="0.25">
      <c r="A541" s="12">
        <v>35799</v>
      </c>
      <c r="B541" s="13">
        <v>0</v>
      </c>
      <c r="C541" s="12"/>
      <c r="D541" s="13">
        <v>5627</v>
      </c>
      <c r="E541" s="12">
        <v>1</v>
      </c>
      <c r="F541" s="13" cm="1">
        <f t="array" ref="F541">IFERROR(atlaide(E541,B541),"Kluda!")</f>
        <v>0</v>
      </c>
      <c r="G541" s="13"/>
      <c r="H541" s="12">
        <v>9</v>
      </c>
      <c r="I541" s="12"/>
      <c r="J541" s="13" cm="1">
        <f t="array" ref="J541">palidzibas_d(H541,I541)</f>
        <v>0</v>
      </c>
      <c r="K541" s="13">
        <f>IFERROR(('Invoice Data'!$B541+'Invoice Data'!$D541-'Invoice Data'!$F541-'Invoice Data'!$J541+'Invoice Data'!$G541),"Kluda!")</f>
        <v>5627</v>
      </c>
      <c r="L541" s="13">
        <v>0</v>
      </c>
      <c r="M541" s="14" cm="1">
        <f t="array" ref="M541">IFERROR(jauna_bil(D541,F541,J541,B541,L541),"Kluda!")</f>
        <v>5627</v>
      </c>
    </row>
    <row r="542" spans="1:13" x14ac:dyDescent="0.25">
      <c r="A542" s="12">
        <v>35806</v>
      </c>
      <c r="B542" s="13">
        <v>0</v>
      </c>
      <c r="C542" s="12"/>
      <c r="D542" s="13">
        <v>3965</v>
      </c>
      <c r="E542" s="12">
        <v>1</v>
      </c>
      <c r="F542" s="13" cm="1">
        <f t="array" ref="F542">IFERROR(atlaide(E542,B542),"Kluda!")</f>
        <v>0</v>
      </c>
      <c r="G542" s="13"/>
      <c r="H542" s="12">
        <v>8</v>
      </c>
      <c r="I542" s="12"/>
      <c r="J542" s="13" cm="1">
        <f t="array" ref="J542">palidzibas_d(H542,I542)</f>
        <v>0</v>
      </c>
      <c r="K542" s="13">
        <f>IFERROR(('Invoice Data'!$B542+'Invoice Data'!$D542-'Invoice Data'!$F542-'Invoice Data'!$J542+'Invoice Data'!$G542),"Kluda!")</f>
        <v>3965</v>
      </c>
      <c r="L542" s="13">
        <v>0</v>
      </c>
      <c r="M542" s="14" cm="1">
        <f t="array" ref="M542">IFERROR(jauna_bil(D542,F542,J542,B542,L542),"Kluda!")</f>
        <v>3965</v>
      </c>
    </row>
    <row r="543" spans="1:13" x14ac:dyDescent="0.25">
      <c r="A543" s="12">
        <v>35815</v>
      </c>
      <c r="B543" s="13">
        <v>0</v>
      </c>
      <c r="C543" s="12"/>
      <c r="D543" s="13">
        <v>4792</v>
      </c>
      <c r="E543" s="12">
        <v>1</v>
      </c>
      <c r="F543" s="13" cm="1">
        <f t="array" ref="F543">IFERROR(atlaide(E543,B543),"Kluda!")</f>
        <v>0</v>
      </c>
      <c r="G543" s="13"/>
      <c r="H543" s="12">
        <v>11</v>
      </c>
      <c r="I543" s="12"/>
      <c r="J543" s="13" cm="1">
        <f t="array" ref="J543">palidzibas_d(H543,I543)</f>
        <v>0</v>
      </c>
      <c r="K543" s="13">
        <f>IFERROR(('Invoice Data'!$B543+'Invoice Data'!$D543-'Invoice Data'!$F543-'Invoice Data'!$J543+'Invoice Data'!$G543),"Kluda!")</f>
        <v>4792</v>
      </c>
      <c r="L543" s="13">
        <v>0</v>
      </c>
      <c r="M543" s="14" cm="1">
        <f t="array" ref="M543">IFERROR(jauna_bil(D543,F543,J543,B543,L543),"Kluda!")</f>
        <v>4792</v>
      </c>
    </row>
    <row r="544" spans="1:13" x14ac:dyDescent="0.25">
      <c r="A544" s="12">
        <v>35824</v>
      </c>
      <c r="B544" s="13">
        <v>0</v>
      </c>
      <c r="C544" s="12"/>
      <c r="D544" s="13">
        <v>3366</v>
      </c>
      <c r="E544" s="12">
        <v>1</v>
      </c>
      <c r="F544" s="13" cm="1">
        <f t="array" ref="F544">IFERROR(atlaide(E544,B544),"Kluda!")</f>
        <v>0</v>
      </c>
      <c r="G544" s="13"/>
      <c r="H544" s="12">
        <v>3</v>
      </c>
      <c r="I544" s="12"/>
      <c r="J544" s="13" cm="1">
        <f t="array" ref="J544">palidzibas_d(H544,I544)</f>
        <v>0</v>
      </c>
      <c r="K544" s="13">
        <f>IFERROR(('Invoice Data'!$B544+'Invoice Data'!$D544-'Invoice Data'!$F544-'Invoice Data'!$J544+'Invoice Data'!$G544),"Kluda!")</f>
        <v>3366</v>
      </c>
      <c r="L544" s="13">
        <v>0</v>
      </c>
      <c r="M544" s="14" cm="1">
        <f t="array" ref="M544">IFERROR(jauna_bil(D544,F544,J544,B544,L544),"Kluda!")</f>
        <v>3366</v>
      </c>
    </row>
    <row r="545" spans="1:13" x14ac:dyDescent="0.25">
      <c r="A545" s="12">
        <v>35833</v>
      </c>
      <c r="B545" s="13">
        <v>0</v>
      </c>
      <c r="C545" s="12"/>
      <c r="D545" s="13">
        <v>3462</v>
      </c>
      <c r="E545" s="12">
        <v>1</v>
      </c>
      <c r="F545" s="13" cm="1">
        <f t="array" ref="F545">IFERROR(atlaide(E545,B545),"Kluda!")</f>
        <v>0</v>
      </c>
      <c r="G545" s="13"/>
      <c r="H545" s="12">
        <v>3</v>
      </c>
      <c r="I545" s="12"/>
      <c r="J545" s="13" cm="1">
        <f t="array" ref="J545">palidzibas_d(H545,I545)</f>
        <v>0</v>
      </c>
      <c r="K545" s="13">
        <f>IFERROR(('Invoice Data'!$B545+'Invoice Data'!$D545-'Invoice Data'!$F545-'Invoice Data'!$J545+'Invoice Data'!$G545),"Kluda!")</f>
        <v>3462</v>
      </c>
      <c r="L545" s="13">
        <v>0</v>
      </c>
      <c r="M545" s="14" cm="1">
        <f t="array" ref="M545">IFERROR(jauna_bil(D545,F545,J545,B545,L545),"Kluda!")</f>
        <v>3462</v>
      </c>
    </row>
    <row r="546" spans="1:13" x14ac:dyDescent="0.25">
      <c r="A546" s="12">
        <v>35842</v>
      </c>
      <c r="B546" s="13">
        <v>0</v>
      </c>
      <c r="C546" s="12"/>
      <c r="D546" s="13">
        <v>8630</v>
      </c>
      <c r="E546" s="12">
        <v>2</v>
      </c>
      <c r="F546" s="13" cm="1">
        <f t="array" ref="F546">IFERROR(atlaide(E546,B546),"Kluda!")</f>
        <v>0</v>
      </c>
      <c r="G546" s="13"/>
      <c r="H546" s="12">
        <v>14</v>
      </c>
      <c r="I546" s="12"/>
      <c r="J546" s="13" cm="1">
        <f t="array" ref="J546">palidzibas_d(H546,I546)</f>
        <v>0</v>
      </c>
      <c r="K546" s="13">
        <f>IFERROR(('Invoice Data'!$B546+'Invoice Data'!$D546-'Invoice Data'!$F546-'Invoice Data'!$J546+'Invoice Data'!$G546),"Kluda!")</f>
        <v>8630</v>
      </c>
      <c r="L546" s="13">
        <v>0</v>
      </c>
      <c r="M546" s="14" cm="1">
        <f t="array" ref="M546">IFERROR(jauna_bil(D546,F546,J546,B546,L546),"Kluda!")</f>
        <v>8630</v>
      </c>
    </row>
    <row r="547" spans="1:13" x14ac:dyDescent="0.25">
      <c r="A547" s="12">
        <v>35851</v>
      </c>
      <c r="B547" s="13">
        <v>0</v>
      </c>
      <c r="C547" s="12"/>
      <c r="D547" s="13">
        <v>4102</v>
      </c>
      <c r="E547" s="12">
        <v>1</v>
      </c>
      <c r="F547" s="13" cm="1">
        <f t="array" ref="F547">IFERROR(atlaide(E547,B547),"Kluda!")</f>
        <v>0</v>
      </c>
      <c r="G547" s="13"/>
      <c r="H547" s="12">
        <v>5</v>
      </c>
      <c r="I547" s="12"/>
      <c r="J547" s="13" cm="1">
        <f t="array" ref="J547">palidzibas_d(H547,I547)</f>
        <v>0</v>
      </c>
      <c r="K547" s="13">
        <f>IFERROR(('Invoice Data'!$B547+'Invoice Data'!$D547-'Invoice Data'!$F547-'Invoice Data'!$J547+'Invoice Data'!$G547),"Kluda!")</f>
        <v>4102</v>
      </c>
      <c r="L547" s="13">
        <v>0</v>
      </c>
      <c r="M547" s="14" cm="1">
        <f t="array" ref="M547">IFERROR(jauna_bil(D547,F547,J547,B547,L547),"Kluda!")</f>
        <v>4102</v>
      </c>
    </row>
    <row r="548" spans="1:13" x14ac:dyDescent="0.25">
      <c r="A548" s="12">
        <v>35860</v>
      </c>
      <c r="B548" s="13">
        <v>0</v>
      </c>
      <c r="C548" s="12"/>
      <c r="D548" s="13">
        <v>7108</v>
      </c>
      <c r="E548" s="12">
        <v>2</v>
      </c>
      <c r="F548" s="13" cm="1">
        <f t="array" ref="F548">IFERROR(atlaide(E548,B548),"Kluda!")</f>
        <v>0</v>
      </c>
      <c r="G548" s="13"/>
      <c r="H548" s="12">
        <v>0</v>
      </c>
      <c r="I548" s="12"/>
      <c r="J548" s="13" cm="1">
        <f t="array" ref="J548">palidzibas_d(H548,I548)</f>
        <v>0</v>
      </c>
      <c r="K548" s="13">
        <f>IFERROR(('Invoice Data'!$B548+'Invoice Data'!$D548-'Invoice Data'!$F548-'Invoice Data'!$J548+'Invoice Data'!$G548),"Kluda!")</f>
        <v>7108</v>
      </c>
      <c r="L548" s="13">
        <v>0</v>
      </c>
      <c r="M548" s="14" cm="1">
        <f t="array" ref="M548">IFERROR(jauna_bil(D548,F548,J548,B548,L548),"Kluda!")</f>
        <v>7108</v>
      </c>
    </row>
    <row r="549" spans="1:13" x14ac:dyDescent="0.25">
      <c r="A549" s="12">
        <v>35879</v>
      </c>
      <c r="B549" s="13">
        <v>0</v>
      </c>
      <c r="C549" s="12"/>
      <c r="D549" s="13">
        <v>4515</v>
      </c>
      <c r="E549" s="12">
        <v>1</v>
      </c>
      <c r="F549" s="13" cm="1">
        <f t="array" ref="F549">IFERROR(atlaide(E549,B549),"Kluda!")</f>
        <v>0</v>
      </c>
      <c r="G549" s="13"/>
      <c r="H549" s="12">
        <v>0</v>
      </c>
      <c r="I549" s="12"/>
      <c r="J549" s="13" cm="1">
        <f t="array" ref="J549">palidzibas_d(H549,I549)</f>
        <v>0</v>
      </c>
      <c r="K549" s="13">
        <f>IFERROR(('Invoice Data'!$B549+'Invoice Data'!$D549-'Invoice Data'!$F549-'Invoice Data'!$J549+'Invoice Data'!$G549),"Kluda!")</f>
        <v>4515</v>
      </c>
      <c r="L549" s="13">
        <v>0</v>
      </c>
      <c r="M549" s="14" cm="1">
        <f t="array" ref="M549">IFERROR(jauna_bil(D549,F549,J549,B549,L549),"Kluda!")</f>
        <v>4515</v>
      </c>
    </row>
    <row r="550" spans="1:13" x14ac:dyDescent="0.25">
      <c r="A550" s="12">
        <v>35888</v>
      </c>
      <c r="B550" s="13">
        <v>0</v>
      </c>
      <c r="C550" s="12"/>
      <c r="D550" s="13">
        <v>8450</v>
      </c>
      <c r="E550" s="12">
        <v>2</v>
      </c>
      <c r="F550" s="13" cm="1">
        <f t="array" ref="F550">IFERROR(atlaide(E550,B550),"Kluda!")</f>
        <v>0</v>
      </c>
      <c r="G550" s="13"/>
      <c r="H550" s="12">
        <v>5</v>
      </c>
      <c r="I550" s="12"/>
      <c r="J550" s="13" cm="1">
        <f t="array" ref="J550">palidzibas_d(H550,I550)</f>
        <v>0</v>
      </c>
      <c r="K550" s="13">
        <f>IFERROR(('Invoice Data'!$B550+'Invoice Data'!$D550-'Invoice Data'!$F550-'Invoice Data'!$J550+'Invoice Data'!$G550),"Kluda!")</f>
        <v>8450</v>
      </c>
      <c r="L550" s="13">
        <v>0</v>
      </c>
      <c r="M550" s="14" cm="1">
        <f t="array" ref="M550">IFERROR(jauna_bil(D550,F550,J550,B550,L550),"Kluda!")</f>
        <v>8450</v>
      </c>
    </row>
    <row r="551" spans="1:13" x14ac:dyDescent="0.25">
      <c r="A551" s="12">
        <v>35897</v>
      </c>
      <c r="B551" s="13">
        <v>0</v>
      </c>
      <c r="C551" s="12"/>
      <c r="D551" s="13">
        <v>8342</v>
      </c>
      <c r="E551" s="12">
        <v>2</v>
      </c>
      <c r="F551" s="13" cm="1">
        <f t="array" ref="F551">IFERROR(atlaide(E551,B551),"Kluda!")</f>
        <v>0</v>
      </c>
      <c r="G551" s="13"/>
      <c r="H551" s="12">
        <v>14</v>
      </c>
      <c r="I551" s="12"/>
      <c r="J551" s="13" cm="1">
        <f t="array" ref="J551">palidzibas_d(H551,I551)</f>
        <v>0</v>
      </c>
      <c r="K551" s="13">
        <f>IFERROR(('Invoice Data'!$B551+'Invoice Data'!$D551-'Invoice Data'!$F551-'Invoice Data'!$J551+'Invoice Data'!$G551),"Kluda!")</f>
        <v>8342</v>
      </c>
      <c r="L551" s="13">
        <v>0</v>
      </c>
      <c r="M551" s="14" cm="1">
        <f t="array" ref="M551">IFERROR(jauna_bil(D551,F551,J551,B551,L551),"Kluda!")</f>
        <v>8342</v>
      </c>
    </row>
    <row r="552" spans="1:13" x14ac:dyDescent="0.25">
      <c r="A552" s="12">
        <v>35904</v>
      </c>
      <c r="B552" s="13">
        <v>0</v>
      </c>
      <c r="C552" s="12"/>
      <c r="D552" s="13">
        <v>8813</v>
      </c>
      <c r="E552" s="12">
        <v>2</v>
      </c>
      <c r="F552" s="13" cm="1">
        <f t="array" ref="F552">IFERROR(atlaide(E552,B552),"Kluda!")</f>
        <v>0</v>
      </c>
      <c r="G552" s="13"/>
      <c r="H552" s="12">
        <v>16</v>
      </c>
      <c r="I552" s="12"/>
      <c r="J552" s="13" cm="1">
        <f t="array" ref="J552">palidzibas_d(H552,I552)</f>
        <v>0</v>
      </c>
      <c r="K552" s="13">
        <f>IFERROR(('Invoice Data'!$B552+'Invoice Data'!$D552-'Invoice Data'!$F552-'Invoice Data'!$J552+'Invoice Data'!$G552),"Kluda!")</f>
        <v>8813</v>
      </c>
      <c r="L552" s="13">
        <v>0</v>
      </c>
      <c r="M552" s="14" cm="1">
        <f t="array" ref="M552">IFERROR(jauna_bil(D552,F552,J552,B552,L552),"Kluda!")</f>
        <v>8813</v>
      </c>
    </row>
    <row r="553" spans="1:13" x14ac:dyDescent="0.25">
      <c r="A553" s="12">
        <v>35913</v>
      </c>
      <c r="B553" s="13">
        <v>0</v>
      </c>
      <c r="C553" s="12"/>
      <c r="D553" s="13">
        <v>7211</v>
      </c>
      <c r="E553" s="12">
        <v>2</v>
      </c>
      <c r="F553" s="13" cm="1">
        <f t="array" ref="F553">IFERROR(atlaide(E553,B553),"Kluda!")</f>
        <v>0</v>
      </c>
      <c r="G553" s="13"/>
      <c r="H553" s="12">
        <v>16</v>
      </c>
      <c r="I553" s="12"/>
      <c r="J553" s="13" cm="1">
        <f t="array" ref="J553">palidzibas_d(H553,I553)</f>
        <v>0</v>
      </c>
      <c r="K553" s="13">
        <f>IFERROR(('Invoice Data'!$B553+'Invoice Data'!$D553-'Invoice Data'!$F553-'Invoice Data'!$J553+'Invoice Data'!$G553),"Kluda!")</f>
        <v>7211</v>
      </c>
      <c r="L553" s="13">
        <v>0</v>
      </c>
      <c r="M553" s="14" cm="1">
        <f t="array" ref="M553">IFERROR(jauna_bil(D553,F553,J553,B553,L553),"Kluda!")</f>
        <v>7211</v>
      </c>
    </row>
    <row r="554" spans="1:13" x14ac:dyDescent="0.25">
      <c r="A554" s="12">
        <v>35922</v>
      </c>
      <c r="B554" s="13">
        <v>0</v>
      </c>
      <c r="C554" s="12"/>
      <c r="D554" s="13">
        <v>9522</v>
      </c>
      <c r="E554" s="12">
        <v>2</v>
      </c>
      <c r="F554" s="13" cm="1">
        <f t="array" ref="F554">IFERROR(atlaide(E554,B554),"Kluda!")</f>
        <v>0</v>
      </c>
      <c r="G554" s="13"/>
      <c r="H554" s="12">
        <v>4</v>
      </c>
      <c r="I554" s="12"/>
      <c r="J554" s="13" cm="1">
        <f t="array" ref="J554">palidzibas_d(H554,I554)</f>
        <v>0</v>
      </c>
      <c r="K554" s="13">
        <f>IFERROR(('Invoice Data'!$B554+'Invoice Data'!$D554-'Invoice Data'!$F554-'Invoice Data'!$J554+'Invoice Data'!$G554),"Kluda!")</f>
        <v>9522</v>
      </c>
      <c r="L554" s="13">
        <v>0</v>
      </c>
      <c r="M554" s="14" cm="1">
        <f t="array" ref="M554">IFERROR(jauna_bil(D554,F554,J554,B554,L554),"Kluda!")</f>
        <v>9522</v>
      </c>
    </row>
    <row r="555" spans="1:13" x14ac:dyDescent="0.25">
      <c r="A555" s="12">
        <v>35931</v>
      </c>
      <c r="B555" s="13">
        <v>0</v>
      </c>
      <c r="C555" s="12"/>
      <c r="D555" s="13">
        <v>7027</v>
      </c>
      <c r="E555" s="12">
        <v>2</v>
      </c>
      <c r="F555" s="13" cm="1">
        <f t="array" ref="F555">IFERROR(atlaide(E555,B555),"Kluda!")</f>
        <v>0</v>
      </c>
      <c r="G555" s="13"/>
      <c r="H555" s="12">
        <v>10</v>
      </c>
      <c r="I555" s="12"/>
      <c r="J555" s="13" cm="1">
        <f t="array" ref="J555">palidzibas_d(H555,I555)</f>
        <v>0</v>
      </c>
      <c r="K555" s="13">
        <f>IFERROR(('Invoice Data'!$B555+'Invoice Data'!$D555-'Invoice Data'!$F555-'Invoice Data'!$J555+'Invoice Data'!$G555),"Kluda!")</f>
        <v>7027</v>
      </c>
      <c r="L555" s="13">
        <v>0</v>
      </c>
      <c r="M555" s="14" cm="1">
        <f t="array" ref="M555">IFERROR(jauna_bil(D555,F555,J555,B555,L555),"Kluda!")</f>
        <v>7027</v>
      </c>
    </row>
    <row r="556" spans="1:13" x14ac:dyDescent="0.25">
      <c r="A556" s="12">
        <v>35940</v>
      </c>
      <c r="B556" s="13">
        <v>0</v>
      </c>
      <c r="C556" s="12"/>
      <c r="D556" s="13">
        <v>4387</v>
      </c>
      <c r="E556" s="12">
        <v>1</v>
      </c>
      <c r="F556" s="13" cm="1">
        <f t="array" ref="F556">IFERROR(atlaide(E556,B556),"Kluda!")</f>
        <v>0</v>
      </c>
      <c r="G556" s="13"/>
      <c r="H556" s="12">
        <v>15</v>
      </c>
      <c r="I556" s="12"/>
      <c r="J556" s="13" cm="1">
        <f t="array" ref="J556">palidzibas_d(H556,I556)</f>
        <v>0</v>
      </c>
      <c r="K556" s="13">
        <f>IFERROR(('Invoice Data'!$B556+'Invoice Data'!$D556-'Invoice Data'!$F556-'Invoice Data'!$J556+'Invoice Data'!$G556),"Kluda!")</f>
        <v>4387</v>
      </c>
      <c r="L556" s="13">
        <v>0</v>
      </c>
      <c r="M556" s="14" cm="1">
        <f t="array" ref="M556">IFERROR(jauna_bil(D556,F556,J556,B556,L556),"Kluda!")</f>
        <v>4387</v>
      </c>
    </row>
    <row r="557" spans="1:13" x14ac:dyDescent="0.25">
      <c r="A557" s="12">
        <v>35959</v>
      </c>
      <c r="B557" s="13">
        <v>0</v>
      </c>
      <c r="C557" s="12"/>
      <c r="D557" s="13">
        <v>8283</v>
      </c>
      <c r="E557" s="12">
        <v>2</v>
      </c>
      <c r="F557" s="13" cm="1">
        <f t="array" ref="F557">IFERROR(atlaide(E557,B557),"Kluda!")</f>
        <v>0</v>
      </c>
      <c r="G557" s="13"/>
      <c r="H557" s="12">
        <v>3</v>
      </c>
      <c r="I557" s="12"/>
      <c r="J557" s="13" cm="1">
        <f t="array" ref="J557">palidzibas_d(H557,I557)</f>
        <v>0</v>
      </c>
      <c r="K557" s="13">
        <f>IFERROR(('Invoice Data'!$B557+'Invoice Data'!$D557-'Invoice Data'!$F557-'Invoice Data'!$J557+'Invoice Data'!$G557),"Kluda!")</f>
        <v>8283</v>
      </c>
      <c r="L557" s="13">
        <v>0</v>
      </c>
      <c r="M557" s="14" cm="1">
        <f t="array" ref="M557">IFERROR(jauna_bil(D557,F557,J557,B557,L557),"Kluda!")</f>
        <v>8283</v>
      </c>
    </row>
    <row r="558" spans="1:13" x14ac:dyDescent="0.25">
      <c r="A558" s="12">
        <v>35968</v>
      </c>
      <c r="B558" s="13">
        <v>0</v>
      </c>
      <c r="C558" s="12"/>
      <c r="D558" s="13">
        <v>10206</v>
      </c>
      <c r="E558" s="12">
        <v>2</v>
      </c>
      <c r="F558" s="13" cm="1">
        <f t="array" ref="F558">IFERROR(atlaide(E558,B558),"Kluda!")</f>
        <v>0</v>
      </c>
      <c r="G558" s="13"/>
      <c r="H558" s="12">
        <v>11</v>
      </c>
      <c r="I558" s="12"/>
      <c r="J558" s="13" cm="1">
        <f t="array" ref="J558">palidzibas_d(H558,I558)</f>
        <v>0</v>
      </c>
      <c r="K558" s="13">
        <f>IFERROR(('Invoice Data'!$B558+'Invoice Data'!$D558-'Invoice Data'!$F558-'Invoice Data'!$J558+'Invoice Data'!$G558),"Kluda!")</f>
        <v>10206</v>
      </c>
      <c r="L558" s="13">
        <v>0</v>
      </c>
      <c r="M558" s="14" cm="1">
        <f t="array" ref="M558">IFERROR(jauna_bil(D558,F558,J558,B558,L558),"Kluda!")</f>
        <v>10206</v>
      </c>
    </row>
    <row r="559" spans="1:13" x14ac:dyDescent="0.25">
      <c r="A559" s="12">
        <v>35977</v>
      </c>
      <c r="B559" s="13">
        <v>0</v>
      </c>
      <c r="C559" s="12"/>
      <c r="D559" s="13">
        <v>4821</v>
      </c>
      <c r="E559" s="12">
        <v>1</v>
      </c>
      <c r="F559" s="13" cm="1">
        <f t="array" ref="F559">IFERROR(atlaide(E559,B559),"Kluda!")</f>
        <v>0</v>
      </c>
      <c r="G559" s="13"/>
      <c r="H559" s="12">
        <v>10</v>
      </c>
      <c r="I559" s="12"/>
      <c r="J559" s="13" cm="1">
        <f t="array" ref="J559">palidzibas_d(H559,I559)</f>
        <v>0</v>
      </c>
      <c r="K559" s="13">
        <f>IFERROR(('Invoice Data'!$B559+'Invoice Data'!$D559-'Invoice Data'!$F559-'Invoice Data'!$J559+'Invoice Data'!$G559),"Kluda!")</f>
        <v>4821</v>
      </c>
      <c r="L559" s="13">
        <v>0</v>
      </c>
      <c r="M559" s="14" cm="1">
        <f t="array" ref="M559">IFERROR(jauna_bil(D559,F559,J559,B559,L559),"Kluda!")</f>
        <v>4821</v>
      </c>
    </row>
    <row r="560" spans="1:13" x14ac:dyDescent="0.25">
      <c r="A560" s="12">
        <v>35986</v>
      </c>
      <c r="B560" s="13">
        <v>0</v>
      </c>
      <c r="C560" s="12"/>
      <c r="D560" s="13">
        <v>4365</v>
      </c>
      <c r="E560" s="12">
        <v>1</v>
      </c>
      <c r="F560" s="13" cm="1">
        <f t="array" ref="F560">IFERROR(atlaide(E560,B560),"Kluda!")</f>
        <v>0</v>
      </c>
      <c r="G560" s="13"/>
      <c r="H560" s="12">
        <v>9</v>
      </c>
      <c r="I560" s="12"/>
      <c r="J560" s="13" cm="1">
        <f t="array" ref="J560">palidzibas_d(H560,I560)</f>
        <v>0</v>
      </c>
      <c r="K560" s="13">
        <f>IFERROR(('Invoice Data'!$B560+'Invoice Data'!$D560-'Invoice Data'!$F560-'Invoice Data'!$J560+'Invoice Data'!$G560),"Kluda!")</f>
        <v>4365</v>
      </c>
      <c r="L560" s="13">
        <v>0</v>
      </c>
      <c r="M560" s="14" cm="1">
        <f t="array" ref="M560">IFERROR(jauna_bil(D560,F560,J560,B560,L560),"Kluda!")</f>
        <v>4365</v>
      </c>
    </row>
    <row r="561" spans="1:13" x14ac:dyDescent="0.25">
      <c r="A561" s="12">
        <v>35995</v>
      </c>
      <c r="B561" s="13">
        <v>0</v>
      </c>
      <c r="C561" s="12"/>
      <c r="D561" s="13">
        <v>4431</v>
      </c>
      <c r="E561" s="12">
        <v>1</v>
      </c>
      <c r="F561" s="13" cm="1">
        <f t="array" ref="F561">IFERROR(atlaide(E561,B561),"Kluda!")</f>
        <v>0</v>
      </c>
      <c r="G561" s="13"/>
      <c r="H561" s="12">
        <v>11</v>
      </c>
      <c r="I561" s="12"/>
      <c r="J561" s="13" cm="1">
        <f t="array" ref="J561">palidzibas_d(H561,I561)</f>
        <v>0</v>
      </c>
      <c r="K561" s="13">
        <f>IFERROR(('Invoice Data'!$B561+'Invoice Data'!$D561-'Invoice Data'!$F561-'Invoice Data'!$J561+'Invoice Data'!$G561),"Kluda!")</f>
        <v>4431</v>
      </c>
      <c r="L561" s="13">
        <v>0</v>
      </c>
      <c r="M561" s="14" cm="1">
        <f t="array" ref="M561">IFERROR(jauna_bil(D561,F561,J561,B561,L561),"Kluda!")</f>
        <v>4431</v>
      </c>
    </row>
    <row r="562" spans="1:13" x14ac:dyDescent="0.25">
      <c r="A562" s="12">
        <v>36002</v>
      </c>
      <c r="B562" s="13">
        <v>0</v>
      </c>
      <c r="C562" s="12"/>
      <c r="D562" s="13">
        <v>7079</v>
      </c>
      <c r="E562" s="12">
        <v>2</v>
      </c>
      <c r="F562" s="13" cm="1">
        <f t="array" ref="F562">IFERROR(atlaide(E562,B562),"Kluda!")</f>
        <v>0</v>
      </c>
      <c r="G562" s="13"/>
      <c r="H562" s="12">
        <v>15</v>
      </c>
      <c r="I562" s="12"/>
      <c r="J562" s="13" cm="1">
        <f t="array" ref="J562">palidzibas_d(H562,I562)</f>
        <v>0</v>
      </c>
      <c r="K562" s="13">
        <f>IFERROR(('Invoice Data'!$B562+'Invoice Data'!$D562-'Invoice Data'!$F562-'Invoice Data'!$J562+'Invoice Data'!$G562),"Kluda!")</f>
        <v>7079</v>
      </c>
      <c r="L562" s="13">
        <v>0</v>
      </c>
      <c r="M562" s="14" cm="1">
        <f t="array" ref="M562">IFERROR(jauna_bil(D562,F562,J562,B562,L562),"Kluda!")</f>
        <v>7079</v>
      </c>
    </row>
    <row r="563" spans="1:13" x14ac:dyDescent="0.25">
      <c r="A563" s="12">
        <v>36011</v>
      </c>
      <c r="B563" s="13">
        <v>0</v>
      </c>
      <c r="C563" s="12"/>
      <c r="D563" s="13">
        <v>9230</v>
      </c>
      <c r="E563" s="12">
        <v>2</v>
      </c>
      <c r="F563" s="13" cm="1">
        <f t="array" ref="F563">IFERROR(atlaide(E563,B563),"Kluda!")</f>
        <v>0</v>
      </c>
      <c r="G563" s="13"/>
      <c r="H563" s="12">
        <v>16</v>
      </c>
      <c r="I563" s="12"/>
      <c r="J563" s="13" cm="1">
        <f t="array" ref="J563">palidzibas_d(H563,I563)</f>
        <v>0</v>
      </c>
      <c r="K563" s="13">
        <f>IFERROR(('Invoice Data'!$B563+'Invoice Data'!$D563-'Invoice Data'!$F563-'Invoice Data'!$J563+'Invoice Data'!$G563),"Kluda!")</f>
        <v>9230</v>
      </c>
      <c r="L563" s="13">
        <v>0</v>
      </c>
      <c r="M563" s="14" cm="1">
        <f t="array" ref="M563">IFERROR(jauna_bil(D563,F563,J563,B563,L563),"Kluda!")</f>
        <v>9230</v>
      </c>
    </row>
    <row r="564" spans="1:13" x14ac:dyDescent="0.25">
      <c r="A564" s="12">
        <v>36020</v>
      </c>
      <c r="B564" s="13">
        <v>0</v>
      </c>
      <c r="C564" s="12"/>
      <c r="D564" s="13">
        <v>6944</v>
      </c>
      <c r="E564" s="12">
        <v>2</v>
      </c>
      <c r="F564" s="13" cm="1">
        <f t="array" ref="F564">IFERROR(atlaide(E564,B564),"Kluda!")</f>
        <v>0</v>
      </c>
      <c r="G564" s="13"/>
      <c r="H564" s="12">
        <v>8</v>
      </c>
      <c r="I564" s="12"/>
      <c r="J564" s="13" cm="1">
        <f t="array" ref="J564">palidzibas_d(H564,I564)</f>
        <v>0</v>
      </c>
      <c r="K564" s="13">
        <f>IFERROR(('Invoice Data'!$B564+'Invoice Data'!$D564-'Invoice Data'!$F564-'Invoice Data'!$J564+'Invoice Data'!$G564),"Kluda!")</f>
        <v>6944</v>
      </c>
      <c r="L564" s="13">
        <v>0</v>
      </c>
      <c r="M564" s="14" cm="1">
        <f t="array" ref="M564">IFERROR(jauna_bil(D564,F564,J564,B564,L564),"Kluda!")</f>
        <v>6944</v>
      </c>
    </row>
    <row r="565" spans="1:13" x14ac:dyDescent="0.25">
      <c r="A565" s="12">
        <v>36039</v>
      </c>
      <c r="B565" s="13">
        <v>0</v>
      </c>
      <c r="C565" s="12"/>
      <c r="D565" s="13">
        <v>4689</v>
      </c>
      <c r="E565" s="12">
        <v>1</v>
      </c>
      <c r="F565" s="13" cm="1">
        <f t="array" ref="F565">IFERROR(atlaide(E565,B565),"Kluda!")</f>
        <v>0</v>
      </c>
      <c r="G565" s="13"/>
      <c r="H565" s="12">
        <v>6</v>
      </c>
      <c r="I565" s="12"/>
      <c r="J565" s="13" cm="1">
        <f t="array" ref="J565">palidzibas_d(H565,I565)</f>
        <v>0</v>
      </c>
      <c r="K565" s="13">
        <f>IFERROR(('Invoice Data'!$B565+'Invoice Data'!$D565-'Invoice Data'!$F565-'Invoice Data'!$J565+'Invoice Data'!$G565),"Kluda!")</f>
        <v>4689</v>
      </c>
      <c r="L565" s="13">
        <v>0</v>
      </c>
      <c r="M565" s="14" cm="1">
        <f t="array" ref="M565">IFERROR(jauna_bil(D565,F565,J565,B565,L565),"Kluda!")</f>
        <v>4689</v>
      </c>
    </row>
    <row r="566" spans="1:13" x14ac:dyDescent="0.25">
      <c r="A566" s="12">
        <v>36048</v>
      </c>
      <c r="B566" s="13">
        <v>0</v>
      </c>
      <c r="C566" s="12"/>
      <c r="D566" s="13">
        <v>5119</v>
      </c>
      <c r="E566" s="12">
        <v>1</v>
      </c>
      <c r="F566" s="13" cm="1">
        <f t="array" ref="F566">IFERROR(atlaide(E566,B566),"Kluda!")</f>
        <v>0</v>
      </c>
      <c r="G566" s="13"/>
      <c r="H566" s="12">
        <v>5</v>
      </c>
      <c r="I566" s="12"/>
      <c r="J566" s="13" cm="1">
        <f t="array" ref="J566">palidzibas_d(H566,I566)</f>
        <v>0</v>
      </c>
      <c r="K566" s="13">
        <f>IFERROR(('Invoice Data'!$B566+'Invoice Data'!$D566-'Invoice Data'!$F566-'Invoice Data'!$J566+'Invoice Data'!$G566),"Kluda!")</f>
        <v>5119</v>
      </c>
      <c r="L566" s="13">
        <v>0</v>
      </c>
      <c r="M566" s="14" cm="1">
        <f t="array" ref="M566">IFERROR(jauna_bil(D566,F566,J566,B566,L566),"Kluda!")</f>
        <v>5119</v>
      </c>
    </row>
    <row r="567" spans="1:13" x14ac:dyDescent="0.25">
      <c r="A567" s="12">
        <v>36057</v>
      </c>
      <c r="B567" s="13">
        <v>0</v>
      </c>
      <c r="C567" s="12"/>
      <c r="D567" s="13">
        <v>9612</v>
      </c>
      <c r="E567" s="12">
        <v>2</v>
      </c>
      <c r="F567" s="13" cm="1">
        <f t="array" ref="F567">IFERROR(atlaide(E567,B567),"Kluda!")</f>
        <v>0</v>
      </c>
      <c r="G567" s="13"/>
      <c r="H567" s="12">
        <v>4</v>
      </c>
      <c r="I567" s="12"/>
      <c r="J567" s="13" cm="1">
        <f t="array" ref="J567">palidzibas_d(H567,I567)</f>
        <v>0</v>
      </c>
      <c r="K567" s="13">
        <f>IFERROR(('Invoice Data'!$B567+'Invoice Data'!$D567-'Invoice Data'!$F567-'Invoice Data'!$J567+'Invoice Data'!$G567),"Kluda!")</f>
        <v>9612</v>
      </c>
      <c r="L567" s="13">
        <v>0</v>
      </c>
      <c r="M567" s="14" cm="1">
        <f t="array" ref="M567">IFERROR(jauna_bil(D567,F567,J567,B567,L567),"Kluda!")</f>
        <v>9612</v>
      </c>
    </row>
    <row r="568" spans="1:13" x14ac:dyDescent="0.25">
      <c r="A568" s="12">
        <v>36066</v>
      </c>
      <c r="B568" s="13">
        <v>0</v>
      </c>
      <c r="C568" s="12"/>
      <c r="D568" s="13">
        <v>9564</v>
      </c>
      <c r="E568" s="12">
        <v>2</v>
      </c>
      <c r="F568" s="13" cm="1">
        <f t="array" ref="F568">IFERROR(atlaide(E568,B568),"Kluda!")</f>
        <v>0</v>
      </c>
      <c r="G568" s="13"/>
      <c r="H568" s="12">
        <v>6</v>
      </c>
      <c r="I568" s="12"/>
      <c r="J568" s="13" cm="1">
        <f t="array" ref="J568">palidzibas_d(H568,I568)</f>
        <v>0</v>
      </c>
      <c r="K568" s="13">
        <f>IFERROR(('Invoice Data'!$B568+'Invoice Data'!$D568-'Invoice Data'!$F568-'Invoice Data'!$J568+'Invoice Data'!$G568),"Kluda!")</f>
        <v>9564</v>
      </c>
      <c r="L568" s="13">
        <v>0</v>
      </c>
      <c r="M568" s="14" cm="1">
        <f t="array" ref="M568">IFERROR(jauna_bil(D568,F568,J568,B568,L568),"Kluda!")</f>
        <v>9564</v>
      </c>
    </row>
    <row r="569" spans="1:13" x14ac:dyDescent="0.25">
      <c r="A569" s="12">
        <v>36075</v>
      </c>
      <c r="B569" s="13">
        <v>0</v>
      </c>
      <c r="C569" s="12"/>
      <c r="D569" s="13">
        <v>9471</v>
      </c>
      <c r="E569" s="12">
        <v>2</v>
      </c>
      <c r="F569" s="13" cm="1">
        <f t="array" ref="F569">IFERROR(atlaide(E569,B569),"Kluda!")</f>
        <v>0</v>
      </c>
      <c r="G569" s="13"/>
      <c r="H569" s="12">
        <v>11</v>
      </c>
      <c r="I569" s="12"/>
      <c r="J569" s="13" cm="1">
        <f t="array" ref="J569">palidzibas_d(H569,I569)</f>
        <v>0</v>
      </c>
      <c r="K569" s="13">
        <f>IFERROR(('Invoice Data'!$B569+'Invoice Data'!$D569-'Invoice Data'!$F569-'Invoice Data'!$J569+'Invoice Data'!$G569),"Kluda!")</f>
        <v>9471</v>
      </c>
      <c r="L569" s="13">
        <v>0</v>
      </c>
      <c r="M569" s="14" cm="1">
        <f t="array" ref="M569">IFERROR(jauna_bil(D569,F569,J569,B569,L569),"Kluda!")</f>
        <v>9471</v>
      </c>
    </row>
    <row r="570" spans="1:13" x14ac:dyDescent="0.25">
      <c r="A570" s="12">
        <v>36084</v>
      </c>
      <c r="B570" s="13">
        <v>0</v>
      </c>
      <c r="C570" s="12"/>
      <c r="D570" s="13">
        <v>8165</v>
      </c>
      <c r="E570" s="12">
        <v>2</v>
      </c>
      <c r="F570" s="13" cm="1">
        <f t="array" ref="F570">IFERROR(atlaide(E570,B570),"Kluda!")</f>
        <v>0</v>
      </c>
      <c r="G570" s="13"/>
      <c r="H570" s="12">
        <v>15</v>
      </c>
      <c r="I570" s="12"/>
      <c r="J570" s="13" cm="1">
        <f t="array" ref="J570">palidzibas_d(H570,I570)</f>
        <v>0</v>
      </c>
      <c r="K570" s="13">
        <f>IFERROR(('Invoice Data'!$B570+'Invoice Data'!$D570-'Invoice Data'!$F570-'Invoice Data'!$J570+'Invoice Data'!$G570),"Kluda!")</f>
        <v>8165</v>
      </c>
      <c r="L570" s="13">
        <v>0</v>
      </c>
      <c r="M570" s="14" cm="1">
        <f t="array" ref="M570">IFERROR(jauna_bil(D570,F570,J570,B570,L570),"Kluda!")</f>
        <v>8165</v>
      </c>
    </row>
    <row r="571" spans="1:13" x14ac:dyDescent="0.25">
      <c r="A571" s="12">
        <v>36093</v>
      </c>
      <c r="B571" s="13">
        <v>0</v>
      </c>
      <c r="C571" s="12"/>
      <c r="D571" s="13">
        <v>9975</v>
      </c>
      <c r="E571" s="12">
        <v>2</v>
      </c>
      <c r="F571" s="13" cm="1">
        <f t="array" ref="F571">IFERROR(atlaide(E571,B571),"Kluda!")</f>
        <v>0</v>
      </c>
      <c r="G571" s="13"/>
      <c r="H571" s="12">
        <v>5</v>
      </c>
      <c r="I571" s="12"/>
      <c r="J571" s="13" cm="1">
        <f t="array" ref="J571">palidzibas_d(H571,I571)</f>
        <v>0</v>
      </c>
      <c r="K571" s="13">
        <f>IFERROR(('Invoice Data'!$B571+'Invoice Data'!$D571-'Invoice Data'!$F571-'Invoice Data'!$J571+'Invoice Data'!$G571),"Kluda!")</f>
        <v>9975</v>
      </c>
      <c r="L571" s="13">
        <v>0</v>
      </c>
      <c r="M571" s="14" cm="1">
        <f t="array" ref="M571">IFERROR(jauna_bil(D571,F571,J571,B571,L571),"Kluda!")</f>
        <v>9975</v>
      </c>
    </row>
    <row r="572" spans="1:13" x14ac:dyDescent="0.25">
      <c r="A572" s="12">
        <v>36100</v>
      </c>
      <c r="B572" s="13">
        <v>0</v>
      </c>
      <c r="C572" s="12"/>
      <c r="D572" s="13">
        <v>9219</v>
      </c>
      <c r="E572" s="12">
        <v>2</v>
      </c>
      <c r="F572" s="13" cm="1">
        <f t="array" ref="F572">IFERROR(atlaide(E572,B572),"Kluda!")</f>
        <v>0</v>
      </c>
      <c r="G572" s="13"/>
      <c r="H572" s="12">
        <v>4</v>
      </c>
      <c r="I572" s="12"/>
      <c r="J572" s="13" cm="1">
        <f t="array" ref="J572">palidzibas_d(H572,I572)</f>
        <v>0</v>
      </c>
      <c r="K572" s="13">
        <f>IFERROR(('Invoice Data'!$B572+'Invoice Data'!$D572-'Invoice Data'!$F572-'Invoice Data'!$J572+'Invoice Data'!$G572),"Kluda!")</f>
        <v>9219</v>
      </c>
      <c r="L572" s="13">
        <v>0</v>
      </c>
      <c r="M572" s="14" cm="1">
        <f t="array" ref="M572">IFERROR(jauna_bil(D572,F572,J572,B572,L572),"Kluda!")</f>
        <v>9219</v>
      </c>
    </row>
    <row r="573" spans="1:13" x14ac:dyDescent="0.25">
      <c r="A573" s="12">
        <v>36119</v>
      </c>
      <c r="B573" s="13">
        <v>0</v>
      </c>
      <c r="C573" s="12"/>
      <c r="D573" s="13">
        <v>5338</v>
      </c>
      <c r="E573" s="12">
        <v>1</v>
      </c>
      <c r="F573" s="13" cm="1">
        <f t="array" ref="F573">IFERROR(atlaide(E573,B573),"Kluda!")</f>
        <v>0</v>
      </c>
      <c r="G573" s="13"/>
      <c r="H573" s="12">
        <v>13</v>
      </c>
      <c r="I573" s="12"/>
      <c r="J573" s="13" cm="1">
        <f t="array" ref="J573">palidzibas_d(H573,I573)</f>
        <v>0</v>
      </c>
      <c r="K573" s="13">
        <f>IFERROR(('Invoice Data'!$B573+'Invoice Data'!$D573-'Invoice Data'!$F573-'Invoice Data'!$J573+'Invoice Data'!$G573),"Kluda!")</f>
        <v>5338</v>
      </c>
      <c r="L573" s="13">
        <v>0</v>
      </c>
      <c r="M573" s="14" cm="1">
        <f t="array" ref="M573">IFERROR(jauna_bil(D573,F573,J573,B573,L573),"Kluda!")</f>
        <v>5338</v>
      </c>
    </row>
    <row r="574" spans="1:13" x14ac:dyDescent="0.25">
      <c r="A574" s="12">
        <v>36128</v>
      </c>
      <c r="B574" s="13">
        <v>0</v>
      </c>
      <c r="C574" s="12"/>
      <c r="D574" s="13">
        <v>7189</v>
      </c>
      <c r="E574" s="12">
        <v>2</v>
      </c>
      <c r="F574" s="13" cm="1">
        <f t="array" ref="F574">IFERROR(atlaide(E574,B574),"Kluda!")</f>
        <v>0</v>
      </c>
      <c r="G574" s="13"/>
      <c r="H574" s="12">
        <v>13</v>
      </c>
      <c r="I574" s="12"/>
      <c r="J574" s="13" cm="1">
        <f t="array" ref="J574">palidzibas_d(H574,I574)</f>
        <v>0</v>
      </c>
      <c r="K574" s="13">
        <f>IFERROR(('Invoice Data'!$B574+'Invoice Data'!$D574-'Invoice Data'!$F574-'Invoice Data'!$J574+'Invoice Data'!$G574),"Kluda!")</f>
        <v>7189</v>
      </c>
      <c r="L574" s="13">
        <v>0</v>
      </c>
      <c r="M574" s="14" cm="1">
        <f t="array" ref="M574">IFERROR(jauna_bil(D574,F574,J574,B574,L574),"Kluda!")</f>
        <v>7189</v>
      </c>
    </row>
    <row r="575" spans="1:13" x14ac:dyDescent="0.25">
      <c r="A575" s="12">
        <v>36137</v>
      </c>
      <c r="B575" s="13">
        <v>0</v>
      </c>
      <c r="C575" s="12"/>
      <c r="D575" s="13">
        <v>7728</v>
      </c>
      <c r="E575" s="12">
        <v>2</v>
      </c>
      <c r="F575" s="13" cm="1">
        <f t="array" ref="F575">IFERROR(atlaide(E575,B575),"Kluda!")</f>
        <v>0</v>
      </c>
      <c r="G575" s="13"/>
      <c r="H575" s="12">
        <v>5</v>
      </c>
      <c r="I575" s="12"/>
      <c r="J575" s="13" cm="1">
        <f t="array" ref="J575">palidzibas_d(H575,I575)</f>
        <v>0</v>
      </c>
      <c r="K575" s="13">
        <f>IFERROR(('Invoice Data'!$B575+'Invoice Data'!$D575-'Invoice Data'!$F575-'Invoice Data'!$J575+'Invoice Data'!$G575),"Kluda!")</f>
        <v>7728</v>
      </c>
      <c r="L575" s="13">
        <v>0</v>
      </c>
      <c r="M575" s="14" cm="1">
        <f t="array" ref="M575">IFERROR(jauna_bil(D575,F575,J575,B575,L575),"Kluda!")</f>
        <v>7728</v>
      </c>
    </row>
    <row r="576" spans="1:13" x14ac:dyDescent="0.25">
      <c r="A576" s="12">
        <v>36146</v>
      </c>
      <c r="B576" s="13">
        <v>0</v>
      </c>
      <c r="C576" s="12"/>
      <c r="D576" s="13">
        <v>5552</v>
      </c>
      <c r="E576" s="12">
        <v>1</v>
      </c>
      <c r="F576" s="13" cm="1">
        <f t="array" ref="F576">IFERROR(atlaide(E576,B576),"Kluda!")</f>
        <v>0</v>
      </c>
      <c r="G576" s="13"/>
      <c r="H576" s="12">
        <v>4</v>
      </c>
      <c r="I576" s="12"/>
      <c r="J576" s="13" cm="1">
        <f t="array" ref="J576">palidzibas_d(H576,I576)</f>
        <v>0</v>
      </c>
      <c r="K576" s="13">
        <f>IFERROR(('Invoice Data'!$B576+'Invoice Data'!$D576-'Invoice Data'!$F576-'Invoice Data'!$J576+'Invoice Data'!$G576),"Kluda!")</f>
        <v>5552</v>
      </c>
      <c r="L576" s="13">
        <v>0</v>
      </c>
      <c r="M576" s="14" cm="1">
        <f t="array" ref="M576">IFERROR(jauna_bil(D576,F576,J576,B576,L576),"Kluda!")</f>
        <v>5552</v>
      </c>
    </row>
    <row r="577" spans="1:13" x14ac:dyDescent="0.25">
      <c r="A577" s="12">
        <v>36155</v>
      </c>
      <c r="B577" s="13">
        <v>1020</v>
      </c>
      <c r="C577" s="12"/>
      <c r="D577" s="13">
        <v>3416</v>
      </c>
      <c r="E577" s="12">
        <v>1</v>
      </c>
      <c r="F577" s="13" cm="1">
        <f t="array" ref="F577">IFERROR(atlaide(E577,B577),"Kluda!")</f>
        <v>30.6</v>
      </c>
      <c r="G577" s="13"/>
      <c r="H577" s="12">
        <v>16</v>
      </c>
      <c r="I577" s="12"/>
      <c r="J577" s="13" cm="1">
        <f t="array" ref="J577">palidzibas_d(H577,I577)</f>
        <v>0</v>
      </c>
      <c r="K577" s="13">
        <f>IFERROR(('Invoice Data'!$B577+'Invoice Data'!$D577-'Invoice Data'!$F577-'Invoice Data'!$J577+'Invoice Data'!$G577),"Kluda!")</f>
        <v>4405.3999999999996</v>
      </c>
      <c r="L577" s="13">
        <v>0</v>
      </c>
      <c r="M577" s="14" cm="1">
        <f t="array" ref="M577">IFERROR(jauna_bil(D577,F577,J577,B577,L577),"Kluda!")</f>
        <v>2365.4</v>
      </c>
    </row>
    <row r="578" spans="1:13" x14ac:dyDescent="0.25">
      <c r="A578" s="12">
        <v>36164</v>
      </c>
      <c r="B578" s="13">
        <v>0</v>
      </c>
      <c r="C578" s="12"/>
      <c r="D578" s="13">
        <v>8324</v>
      </c>
      <c r="E578" s="12">
        <v>2</v>
      </c>
      <c r="F578" s="13" cm="1">
        <f t="array" ref="F578">IFERROR(atlaide(E578,B578),"Kluda!")</f>
        <v>0</v>
      </c>
      <c r="G578" s="13"/>
      <c r="H578" s="12">
        <v>12</v>
      </c>
      <c r="I578" s="12"/>
      <c r="J578" s="13" cm="1">
        <f t="array" ref="J578">palidzibas_d(H578,I578)</f>
        <v>0</v>
      </c>
      <c r="K578" s="13">
        <f>IFERROR(('Invoice Data'!$B578+'Invoice Data'!$D578-'Invoice Data'!$F578-'Invoice Data'!$J578+'Invoice Data'!$G578),"Kluda!")</f>
        <v>8324</v>
      </c>
      <c r="L578" s="13">
        <v>0</v>
      </c>
      <c r="M578" s="14" cm="1">
        <f t="array" ref="M578">IFERROR(jauna_bil(D578,F578,J578,B578,L578),"Kluda!")</f>
        <v>8324</v>
      </c>
    </row>
    <row r="579" spans="1:13" x14ac:dyDescent="0.25">
      <c r="A579" s="12">
        <v>36173</v>
      </c>
      <c r="B579" s="13">
        <v>0</v>
      </c>
      <c r="C579" s="12"/>
      <c r="D579" s="13">
        <v>5453</v>
      </c>
      <c r="E579" s="12">
        <v>1</v>
      </c>
      <c r="F579" s="13" cm="1">
        <f t="array" ref="F579">IFERROR(atlaide(E579,B579),"Kluda!")</f>
        <v>0</v>
      </c>
      <c r="G579" s="13"/>
      <c r="H579" s="12">
        <v>7</v>
      </c>
      <c r="I579" s="12"/>
      <c r="J579" s="13" cm="1">
        <f t="array" ref="J579">palidzibas_d(H579,I579)</f>
        <v>0</v>
      </c>
      <c r="K579" s="13">
        <f>IFERROR(('Invoice Data'!$B579+'Invoice Data'!$D579-'Invoice Data'!$F579-'Invoice Data'!$J579+'Invoice Data'!$G579),"Kluda!")</f>
        <v>5453</v>
      </c>
      <c r="L579" s="13">
        <v>0</v>
      </c>
      <c r="M579" s="14" cm="1">
        <f t="array" ref="M579">IFERROR(jauna_bil(D579,F579,J579,B579,L579),"Kluda!")</f>
        <v>5453</v>
      </c>
    </row>
    <row r="580" spans="1:13" x14ac:dyDescent="0.25">
      <c r="A580" s="12">
        <v>36182</v>
      </c>
      <c r="B580" s="13">
        <v>0</v>
      </c>
      <c r="C580" s="12"/>
      <c r="D580" s="13">
        <v>9529</v>
      </c>
      <c r="E580" s="12">
        <v>2</v>
      </c>
      <c r="F580" s="13" cm="1">
        <f t="array" ref="F580">IFERROR(atlaide(E580,B580),"Kluda!")</f>
        <v>0</v>
      </c>
      <c r="G580" s="13"/>
      <c r="H580" s="12">
        <v>4</v>
      </c>
      <c r="I580" s="12"/>
      <c r="J580" s="13" cm="1">
        <f t="array" ref="J580">palidzibas_d(H580,I580)</f>
        <v>0</v>
      </c>
      <c r="K580" s="13">
        <f>IFERROR(('Invoice Data'!$B580+'Invoice Data'!$D580-'Invoice Data'!$F580-'Invoice Data'!$J580+'Invoice Data'!$G580),"Kluda!")</f>
        <v>9529</v>
      </c>
      <c r="L580" s="13">
        <v>0</v>
      </c>
      <c r="M580" s="14" cm="1">
        <f t="array" ref="M580">IFERROR(jauna_bil(D580,F580,J580,B580,L580),"Kluda!")</f>
        <v>9529</v>
      </c>
    </row>
    <row r="581" spans="1:13" x14ac:dyDescent="0.25">
      <c r="A581" s="12">
        <v>36191</v>
      </c>
      <c r="B581" s="13">
        <v>0</v>
      </c>
      <c r="C581" s="12"/>
      <c r="D581" s="13">
        <v>5071</v>
      </c>
      <c r="E581" s="12">
        <v>1</v>
      </c>
      <c r="F581" s="13" cm="1">
        <f t="array" ref="F581">IFERROR(atlaide(E581,B581),"Kluda!")</f>
        <v>0</v>
      </c>
      <c r="G581" s="13"/>
      <c r="H581" s="12">
        <v>6</v>
      </c>
      <c r="I581" s="12"/>
      <c r="J581" s="13" cm="1">
        <f t="array" ref="J581">palidzibas_d(H581,I581)</f>
        <v>0</v>
      </c>
      <c r="K581" s="13">
        <f>IFERROR(('Invoice Data'!$B581+'Invoice Data'!$D581-'Invoice Data'!$F581-'Invoice Data'!$J581+'Invoice Data'!$G581),"Kluda!")</f>
        <v>5071</v>
      </c>
      <c r="L581" s="13">
        <v>0</v>
      </c>
      <c r="M581" s="14" cm="1">
        <f t="array" ref="M581">IFERROR(jauna_bil(D581,F581,J581,B581,L581),"Kluda!")</f>
        <v>5071</v>
      </c>
    </row>
    <row r="582" spans="1:13" x14ac:dyDescent="0.25">
      <c r="A582" s="12">
        <v>36208</v>
      </c>
      <c r="B582" s="13">
        <v>0</v>
      </c>
      <c r="C582" s="12"/>
      <c r="D582" s="13">
        <v>4894</v>
      </c>
      <c r="E582" s="12">
        <v>1</v>
      </c>
      <c r="F582" s="13" cm="1">
        <f t="array" ref="F582">IFERROR(atlaide(E582,B582),"Kluda!")</f>
        <v>0</v>
      </c>
      <c r="G582" s="13"/>
      <c r="H582" s="12">
        <v>1</v>
      </c>
      <c r="I582" s="12"/>
      <c r="J582" s="13" cm="1">
        <f t="array" ref="J582">palidzibas_d(H582,I582)</f>
        <v>0</v>
      </c>
      <c r="K582" s="13">
        <f>IFERROR(('Invoice Data'!$B582+'Invoice Data'!$D582-'Invoice Data'!$F582-'Invoice Data'!$J582+'Invoice Data'!$G582),"Kluda!")</f>
        <v>4894</v>
      </c>
      <c r="L582" s="13">
        <v>0</v>
      </c>
      <c r="M582" s="14" cm="1">
        <f t="array" ref="M582">IFERROR(jauna_bil(D582,F582,J582,B582,L582),"Kluda!")</f>
        <v>4894</v>
      </c>
    </row>
    <row r="583" spans="1:13" x14ac:dyDescent="0.25">
      <c r="A583" s="12">
        <v>36217</v>
      </c>
      <c r="B583" s="13">
        <v>0</v>
      </c>
      <c r="C583" s="12"/>
      <c r="D583" s="13">
        <v>5027</v>
      </c>
      <c r="E583" s="12">
        <v>1</v>
      </c>
      <c r="F583" s="13" cm="1">
        <f t="array" ref="F583">IFERROR(atlaide(E583,B583),"Kluda!")</f>
        <v>0</v>
      </c>
      <c r="G583" s="13"/>
      <c r="H583" s="12">
        <v>10</v>
      </c>
      <c r="I583" s="12"/>
      <c r="J583" s="13" cm="1">
        <f t="array" ref="J583">palidzibas_d(H583,I583)</f>
        <v>0</v>
      </c>
      <c r="K583" s="13">
        <f>IFERROR(('Invoice Data'!$B583+'Invoice Data'!$D583-'Invoice Data'!$F583-'Invoice Data'!$J583+'Invoice Data'!$G583),"Kluda!")</f>
        <v>5027</v>
      </c>
      <c r="L583" s="13">
        <v>0</v>
      </c>
      <c r="M583" s="14" cm="1">
        <f t="array" ref="M583">IFERROR(jauna_bil(D583,F583,J583,B583,L583),"Kluda!")</f>
        <v>5027</v>
      </c>
    </row>
    <row r="584" spans="1:13" x14ac:dyDescent="0.25">
      <c r="A584" s="12">
        <v>36226</v>
      </c>
      <c r="B584" s="13">
        <v>0</v>
      </c>
      <c r="C584" s="12"/>
      <c r="D584" s="13">
        <v>7428</v>
      </c>
      <c r="E584" s="12">
        <v>2</v>
      </c>
      <c r="F584" s="13" cm="1">
        <f t="array" ref="F584">IFERROR(atlaide(E584,B584),"Kluda!")</f>
        <v>0</v>
      </c>
      <c r="G584" s="13"/>
      <c r="H584" s="12">
        <v>6</v>
      </c>
      <c r="I584" s="12"/>
      <c r="J584" s="13" cm="1">
        <f t="array" ref="J584">palidzibas_d(H584,I584)</f>
        <v>0</v>
      </c>
      <c r="K584" s="13">
        <f>IFERROR(('Invoice Data'!$B584+'Invoice Data'!$D584-'Invoice Data'!$F584-'Invoice Data'!$J584+'Invoice Data'!$G584),"Kluda!")</f>
        <v>7428</v>
      </c>
      <c r="L584" s="13">
        <v>0</v>
      </c>
      <c r="M584" s="14" cm="1">
        <f t="array" ref="M584">IFERROR(jauna_bil(D584,F584,J584,B584,L584),"Kluda!")</f>
        <v>7428</v>
      </c>
    </row>
    <row r="585" spans="1:13" x14ac:dyDescent="0.25">
      <c r="A585" s="12">
        <v>36235</v>
      </c>
      <c r="B585" s="13">
        <v>0</v>
      </c>
      <c r="C585" s="12"/>
      <c r="D585" s="13">
        <v>4099</v>
      </c>
      <c r="E585" s="12">
        <v>1</v>
      </c>
      <c r="F585" s="13" cm="1">
        <f t="array" ref="F585">IFERROR(atlaide(E585,B585),"Kluda!")</f>
        <v>0</v>
      </c>
      <c r="G585" s="13"/>
      <c r="H585" s="12">
        <v>7</v>
      </c>
      <c r="I585" s="12"/>
      <c r="J585" s="13" cm="1">
        <f t="array" ref="J585">palidzibas_d(H585,I585)</f>
        <v>0</v>
      </c>
      <c r="K585" s="13">
        <f>IFERROR(('Invoice Data'!$B585+'Invoice Data'!$D585-'Invoice Data'!$F585-'Invoice Data'!$J585+'Invoice Data'!$G585),"Kluda!")</f>
        <v>4099</v>
      </c>
      <c r="L585" s="13">
        <v>0</v>
      </c>
      <c r="M585" s="14" cm="1">
        <f t="array" ref="M585">IFERROR(jauna_bil(D585,F585,J585,B585,L585),"Kluda!")</f>
        <v>4099</v>
      </c>
    </row>
    <row r="586" spans="1:13" x14ac:dyDescent="0.25">
      <c r="A586" s="12">
        <v>36244</v>
      </c>
      <c r="B586" s="13">
        <v>0</v>
      </c>
      <c r="C586" s="12"/>
      <c r="D586" s="13">
        <v>4279</v>
      </c>
      <c r="E586" s="12">
        <v>1</v>
      </c>
      <c r="F586" s="13" cm="1">
        <f t="array" ref="F586">IFERROR(atlaide(E586,B586),"Kluda!")</f>
        <v>0</v>
      </c>
      <c r="G586" s="13"/>
      <c r="H586" s="12">
        <v>6</v>
      </c>
      <c r="I586" s="12"/>
      <c r="J586" s="13" cm="1">
        <f t="array" ref="J586">palidzibas_d(H586,I586)</f>
        <v>0</v>
      </c>
      <c r="K586" s="13">
        <f>IFERROR(('Invoice Data'!$B586+'Invoice Data'!$D586-'Invoice Data'!$F586-'Invoice Data'!$J586+'Invoice Data'!$G586),"Kluda!")</f>
        <v>4279</v>
      </c>
      <c r="L586" s="13">
        <v>0</v>
      </c>
      <c r="M586" s="14" cm="1">
        <f t="array" ref="M586">IFERROR(jauna_bil(D586,F586,J586,B586,L586),"Kluda!")</f>
        <v>4279</v>
      </c>
    </row>
    <row r="587" spans="1:13" x14ac:dyDescent="0.25">
      <c r="A587" s="12">
        <v>36253</v>
      </c>
      <c r="B587" s="13">
        <v>0</v>
      </c>
      <c r="C587" s="12"/>
      <c r="D587" s="13">
        <v>3914</v>
      </c>
      <c r="E587" s="12">
        <v>1</v>
      </c>
      <c r="F587" s="13" cm="1">
        <f t="array" ref="F587">IFERROR(atlaide(E587,B587),"Kluda!")</f>
        <v>0</v>
      </c>
      <c r="G587" s="13"/>
      <c r="H587" s="12">
        <v>4</v>
      </c>
      <c r="I587" s="12"/>
      <c r="J587" s="13" cm="1">
        <f t="array" ref="J587">palidzibas_d(H587,I587)</f>
        <v>0</v>
      </c>
      <c r="K587" s="13">
        <f>IFERROR(('Invoice Data'!$B587+'Invoice Data'!$D587-'Invoice Data'!$F587-'Invoice Data'!$J587+'Invoice Data'!$G587),"Kluda!")</f>
        <v>3914</v>
      </c>
      <c r="L587" s="13">
        <v>0</v>
      </c>
      <c r="M587" s="14" cm="1">
        <f t="array" ref="M587">IFERROR(jauna_bil(D587,F587,J587,B587,L587),"Kluda!")</f>
        <v>3914</v>
      </c>
    </row>
    <row r="588" spans="1:13" x14ac:dyDescent="0.25">
      <c r="A588" s="12">
        <v>36262</v>
      </c>
      <c r="B588" s="13">
        <v>0</v>
      </c>
      <c r="C588" s="12"/>
      <c r="D588" s="13">
        <v>9035</v>
      </c>
      <c r="E588" s="12">
        <v>2</v>
      </c>
      <c r="F588" s="13" cm="1">
        <f t="array" ref="F588">IFERROR(atlaide(E588,B588),"Kluda!")</f>
        <v>0</v>
      </c>
      <c r="G588" s="13"/>
      <c r="H588" s="12">
        <v>3</v>
      </c>
      <c r="I588" s="12"/>
      <c r="J588" s="13" cm="1">
        <f t="array" ref="J588">palidzibas_d(H588,I588)</f>
        <v>0</v>
      </c>
      <c r="K588" s="13">
        <f>IFERROR(('Invoice Data'!$B588+'Invoice Data'!$D588-'Invoice Data'!$F588-'Invoice Data'!$J588+'Invoice Data'!$G588),"Kluda!")</f>
        <v>9035</v>
      </c>
      <c r="L588" s="13">
        <v>0</v>
      </c>
      <c r="M588" s="14" cm="1">
        <f t="array" ref="M588">IFERROR(jauna_bil(D588,F588,J588,B588,L588),"Kluda!")</f>
        <v>9035</v>
      </c>
    </row>
    <row r="589" spans="1:13" x14ac:dyDescent="0.25">
      <c r="A589" s="12">
        <v>36271</v>
      </c>
      <c r="B589" s="13">
        <v>0</v>
      </c>
      <c r="C589" s="12"/>
      <c r="D589" s="13">
        <v>7307</v>
      </c>
      <c r="E589" s="12">
        <v>2</v>
      </c>
      <c r="F589" s="13" cm="1">
        <f t="array" ref="F589">IFERROR(atlaide(E589,B589),"Kluda!")</f>
        <v>0</v>
      </c>
      <c r="G589" s="13"/>
      <c r="H589" s="12">
        <v>6</v>
      </c>
      <c r="I589" s="12"/>
      <c r="J589" s="13" cm="1">
        <f t="array" ref="J589">palidzibas_d(H589,I589)</f>
        <v>0</v>
      </c>
      <c r="K589" s="13">
        <f>IFERROR(('Invoice Data'!$B589+'Invoice Data'!$D589-'Invoice Data'!$F589-'Invoice Data'!$J589+'Invoice Data'!$G589),"Kluda!")</f>
        <v>7307</v>
      </c>
      <c r="L589" s="13">
        <v>0</v>
      </c>
      <c r="M589" s="14" cm="1">
        <f t="array" ref="M589">IFERROR(jauna_bil(D589,F589,J589,B589,L589),"Kluda!")</f>
        <v>7307</v>
      </c>
    </row>
    <row r="590" spans="1:13" x14ac:dyDescent="0.25">
      <c r="A590" s="12">
        <v>36280</v>
      </c>
      <c r="B590" s="13">
        <v>0</v>
      </c>
      <c r="C590" s="12"/>
      <c r="D590" s="13">
        <v>6877</v>
      </c>
      <c r="E590" s="12">
        <v>2</v>
      </c>
      <c r="F590" s="13" cm="1">
        <f t="array" ref="F590">IFERROR(atlaide(E590,B590),"Kluda!")</f>
        <v>0</v>
      </c>
      <c r="G590" s="13"/>
      <c r="H590" s="12">
        <v>1</v>
      </c>
      <c r="I590" s="12"/>
      <c r="J590" s="13" cm="1">
        <f t="array" ref="J590">palidzibas_d(H590,I590)</f>
        <v>0</v>
      </c>
      <c r="K590" s="13">
        <f>IFERROR(('Invoice Data'!$B590+'Invoice Data'!$D590-'Invoice Data'!$F590-'Invoice Data'!$J590+'Invoice Data'!$G590),"Kluda!")</f>
        <v>6877</v>
      </c>
      <c r="L590" s="13">
        <v>0</v>
      </c>
      <c r="M590" s="14" cm="1">
        <f t="array" ref="M590">IFERROR(jauna_bil(D590,F590,J590,B590,L590),"Kluda!")</f>
        <v>6877</v>
      </c>
    </row>
    <row r="591" spans="1:13" x14ac:dyDescent="0.25">
      <c r="A591" s="12">
        <v>36299</v>
      </c>
      <c r="B591" s="13">
        <v>0</v>
      </c>
      <c r="C591" s="12"/>
      <c r="D591" s="13">
        <v>4373</v>
      </c>
      <c r="E591" s="12">
        <v>1</v>
      </c>
      <c r="F591" s="13" cm="1">
        <f t="array" ref="F591">IFERROR(atlaide(E591,B591),"Kluda!")</f>
        <v>0</v>
      </c>
      <c r="G591" s="13"/>
      <c r="H591" s="12">
        <v>5</v>
      </c>
      <c r="I591" s="12"/>
      <c r="J591" s="13" cm="1">
        <f t="array" ref="J591">palidzibas_d(H591,I591)</f>
        <v>0</v>
      </c>
      <c r="K591" s="13">
        <f>IFERROR(('Invoice Data'!$B591+'Invoice Data'!$D591-'Invoice Data'!$F591-'Invoice Data'!$J591+'Invoice Data'!$G591),"Kluda!")</f>
        <v>4373</v>
      </c>
      <c r="L591" s="13">
        <v>0</v>
      </c>
      <c r="M591" s="14" cm="1">
        <f t="array" ref="M591">IFERROR(jauna_bil(D591,F591,J591,B591,L591),"Kluda!")</f>
        <v>4373</v>
      </c>
    </row>
    <row r="592" spans="1:13" x14ac:dyDescent="0.25">
      <c r="A592" s="12">
        <v>36306</v>
      </c>
      <c r="B592" s="13">
        <v>0</v>
      </c>
      <c r="C592" s="12"/>
      <c r="D592" s="13">
        <v>4573</v>
      </c>
      <c r="E592" s="12">
        <v>1</v>
      </c>
      <c r="F592" s="13" cm="1">
        <f t="array" ref="F592">IFERROR(atlaide(E592,B592),"Kluda!")</f>
        <v>0</v>
      </c>
      <c r="G592" s="13"/>
      <c r="H592" s="12">
        <v>9</v>
      </c>
      <c r="I592" s="12"/>
      <c r="J592" s="13" cm="1">
        <f t="array" ref="J592">palidzibas_d(H592,I592)</f>
        <v>0</v>
      </c>
      <c r="K592" s="13">
        <f>IFERROR(('Invoice Data'!$B592+'Invoice Data'!$D592-'Invoice Data'!$F592-'Invoice Data'!$J592+'Invoice Data'!$G592),"Kluda!")</f>
        <v>4573</v>
      </c>
      <c r="L592" s="13">
        <v>0</v>
      </c>
      <c r="M592" s="14" cm="1">
        <f t="array" ref="M592">IFERROR(jauna_bil(D592,F592,J592,B592,L592),"Kluda!")</f>
        <v>4573</v>
      </c>
    </row>
    <row r="593" spans="1:13" x14ac:dyDescent="0.25">
      <c r="A593" s="12">
        <v>36324</v>
      </c>
      <c r="B593" s="13">
        <v>0</v>
      </c>
      <c r="C593" s="12"/>
      <c r="D593" s="13">
        <v>4961</v>
      </c>
      <c r="E593" s="12">
        <v>1</v>
      </c>
      <c r="F593" s="13" cm="1">
        <f t="array" ref="F593">IFERROR(atlaide(E593,B593),"Kluda!")</f>
        <v>0</v>
      </c>
      <c r="G593" s="13"/>
      <c r="H593" s="12">
        <v>15</v>
      </c>
      <c r="I593" s="12"/>
      <c r="J593" s="13" cm="1">
        <f t="array" ref="J593">palidzibas_d(H593,I593)</f>
        <v>0</v>
      </c>
      <c r="K593" s="13">
        <f>IFERROR(('Invoice Data'!$B593+'Invoice Data'!$D593-'Invoice Data'!$F593-'Invoice Data'!$J593+'Invoice Data'!$G593),"Kluda!")</f>
        <v>4961</v>
      </c>
      <c r="L593" s="13">
        <v>0</v>
      </c>
      <c r="M593" s="14" cm="1">
        <f t="array" ref="M593">IFERROR(jauna_bil(D593,F593,J593,B593,L593),"Kluda!")</f>
        <v>4961</v>
      </c>
    </row>
    <row r="594" spans="1:13" x14ac:dyDescent="0.25">
      <c r="A594" s="12">
        <v>36333</v>
      </c>
      <c r="B594" s="13">
        <v>0</v>
      </c>
      <c r="C594" s="12"/>
      <c r="D594" s="13">
        <v>9603</v>
      </c>
      <c r="E594" s="12">
        <v>2</v>
      </c>
      <c r="F594" s="13" cm="1">
        <f t="array" ref="F594">IFERROR(atlaide(E594,B594),"Kluda!")</f>
        <v>0</v>
      </c>
      <c r="G594" s="13"/>
      <c r="H594" s="12">
        <v>2</v>
      </c>
      <c r="I594" s="12"/>
      <c r="J594" s="13" cm="1">
        <f t="array" ref="J594">palidzibas_d(H594,I594)</f>
        <v>0</v>
      </c>
      <c r="K594" s="13">
        <f>IFERROR(('Invoice Data'!$B594+'Invoice Data'!$D594-'Invoice Data'!$F594-'Invoice Data'!$J594+'Invoice Data'!$G594),"Kluda!")</f>
        <v>9603</v>
      </c>
      <c r="L594" s="13">
        <v>0</v>
      </c>
      <c r="M594" s="14" cm="1">
        <f t="array" ref="M594">IFERROR(jauna_bil(D594,F594,J594,B594,L594),"Kluda!")</f>
        <v>9603</v>
      </c>
    </row>
    <row r="595" spans="1:13" x14ac:dyDescent="0.25">
      <c r="A595" s="12">
        <v>36342</v>
      </c>
      <c r="B595" s="13">
        <v>0</v>
      </c>
      <c r="C595" s="12"/>
      <c r="D595" s="13">
        <v>7634</v>
      </c>
      <c r="E595" s="12">
        <v>2</v>
      </c>
      <c r="F595" s="13" cm="1">
        <f t="array" ref="F595">IFERROR(atlaide(E595,B595),"Kluda!")</f>
        <v>0</v>
      </c>
      <c r="G595" s="13"/>
      <c r="H595" s="12">
        <v>10</v>
      </c>
      <c r="I595" s="12"/>
      <c r="J595" s="13" cm="1">
        <f t="array" ref="J595">palidzibas_d(H595,I595)</f>
        <v>0</v>
      </c>
      <c r="K595" s="13">
        <f>IFERROR(('Invoice Data'!$B595+'Invoice Data'!$D595-'Invoice Data'!$F595-'Invoice Data'!$J595+'Invoice Data'!$G595),"Kluda!")</f>
        <v>7634</v>
      </c>
      <c r="L595" s="13">
        <v>0</v>
      </c>
      <c r="M595" s="14" cm="1">
        <f t="array" ref="M595">IFERROR(jauna_bil(D595,F595,J595,B595,L595),"Kluda!")</f>
        <v>7634</v>
      </c>
    </row>
    <row r="596" spans="1:13" x14ac:dyDescent="0.25">
      <c r="A596" s="12">
        <v>36351</v>
      </c>
      <c r="B596" s="13">
        <v>0</v>
      </c>
      <c r="C596" s="12"/>
      <c r="D596" s="13">
        <v>8525</v>
      </c>
      <c r="E596" s="12">
        <v>2</v>
      </c>
      <c r="F596" s="13" cm="1">
        <f t="array" ref="F596">IFERROR(atlaide(E596,B596),"Kluda!")</f>
        <v>0</v>
      </c>
      <c r="G596" s="13"/>
      <c r="H596" s="12">
        <v>16</v>
      </c>
      <c r="I596" s="12"/>
      <c r="J596" s="13" cm="1">
        <f t="array" ref="J596">palidzibas_d(H596,I596)</f>
        <v>0</v>
      </c>
      <c r="K596" s="13">
        <f>IFERROR(('Invoice Data'!$B596+'Invoice Data'!$D596-'Invoice Data'!$F596-'Invoice Data'!$J596+'Invoice Data'!$G596),"Kluda!")</f>
        <v>8525</v>
      </c>
      <c r="L596" s="13">
        <v>0</v>
      </c>
      <c r="M596" s="14" cm="1">
        <f t="array" ref="M596">IFERROR(jauna_bil(D596,F596,J596,B596,L596),"Kluda!")</f>
        <v>8525</v>
      </c>
    </row>
    <row r="597" spans="1:13" x14ac:dyDescent="0.25">
      <c r="A597" s="12">
        <v>36360</v>
      </c>
      <c r="B597" s="13">
        <v>0</v>
      </c>
      <c r="C597" s="12"/>
      <c r="D597" s="13">
        <v>10216</v>
      </c>
      <c r="E597" s="12">
        <v>2</v>
      </c>
      <c r="F597" s="13" cm="1">
        <f t="array" ref="F597">IFERROR(atlaide(E597,B597),"Kluda!")</f>
        <v>0</v>
      </c>
      <c r="G597" s="13"/>
      <c r="H597" s="12">
        <v>5</v>
      </c>
      <c r="I597" s="12"/>
      <c r="J597" s="13" cm="1">
        <f t="array" ref="J597">palidzibas_d(H597,I597)</f>
        <v>0</v>
      </c>
      <c r="K597" s="13">
        <f>IFERROR(('Invoice Data'!$B597+'Invoice Data'!$D597-'Invoice Data'!$F597-'Invoice Data'!$J597+'Invoice Data'!$G597),"Kluda!")</f>
        <v>10216</v>
      </c>
      <c r="L597" s="13">
        <v>0</v>
      </c>
      <c r="M597" s="14" cm="1">
        <f t="array" ref="M597">IFERROR(jauna_bil(D597,F597,J597,B597,L597),"Kluda!")</f>
        <v>10216</v>
      </c>
    </row>
    <row r="598" spans="1:13" x14ac:dyDescent="0.25">
      <c r="A598" s="12">
        <v>36379</v>
      </c>
      <c r="B598" s="13">
        <v>0</v>
      </c>
      <c r="C598" s="12"/>
      <c r="D598" s="13">
        <v>4832</v>
      </c>
      <c r="E598" s="12">
        <v>1</v>
      </c>
      <c r="F598" s="13" cm="1">
        <f t="array" ref="F598">IFERROR(atlaide(E598,B598),"Kluda!")</f>
        <v>0</v>
      </c>
      <c r="G598" s="13"/>
      <c r="H598" s="12">
        <v>14</v>
      </c>
      <c r="I598" s="12"/>
      <c r="J598" s="13" cm="1">
        <f t="array" ref="J598">palidzibas_d(H598,I598)</f>
        <v>0</v>
      </c>
      <c r="K598" s="13">
        <f>IFERROR(('Invoice Data'!$B598+'Invoice Data'!$D598-'Invoice Data'!$F598-'Invoice Data'!$J598+'Invoice Data'!$G598),"Kluda!")</f>
        <v>4832</v>
      </c>
      <c r="L598" s="13">
        <v>0</v>
      </c>
      <c r="M598" s="14" cm="1">
        <f t="array" ref="M598">IFERROR(jauna_bil(D598,F598,J598,B598,L598),"Kluda!")</f>
        <v>4832</v>
      </c>
    </row>
    <row r="599" spans="1:13" x14ac:dyDescent="0.25">
      <c r="A599" s="12">
        <v>36388</v>
      </c>
      <c r="B599" s="13">
        <v>0</v>
      </c>
      <c r="C599" s="12"/>
      <c r="D599" s="13">
        <v>7849</v>
      </c>
      <c r="E599" s="12">
        <v>2</v>
      </c>
      <c r="F599" s="13" cm="1">
        <f t="array" ref="F599">IFERROR(atlaide(E599,B599),"Kluda!")</f>
        <v>0</v>
      </c>
      <c r="G599" s="13"/>
      <c r="H599" s="12">
        <v>12</v>
      </c>
      <c r="I599" s="12"/>
      <c r="J599" s="13" cm="1">
        <f t="array" ref="J599">palidzibas_d(H599,I599)</f>
        <v>0</v>
      </c>
      <c r="K599" s="13">
        <f>IFERROR(('Invoice Data'!$B599+'Invoice Data'!$D599-'Invoice Data'!$F599-'Invoice Data'!$J599+'Invoice Data'!$G599),"Kluda!")</f>
        <v>7849</v>
      </c>
      <c r="L599" s="13">
        <v>0</v>
      </c>
      <c r="M599" s="14" cm="1">
        <f t="array" ref="M599">IFERROR(jauna_bil(D599,F599,J599,B599,L599),"Kluda!")</f>
        <v>7849</v>
      </c>
    </row>
    <row r="600" spans="1:13" x14ac:dyDescent="0.25">
      <c r="A600" s="12">
        <v>36397</v>
      </c>
      <c r="B600" s="13">
        <v>-566</v>
      </c>
      <c r="C600" s="12"/>
      <c r="D600" s="13">
        <v>4388</v>
      </c>
      <c r="E600" s="12">
        <v>1</v>
      </c>
      <c r="F600" s="13" cm="1">
        <f t="array" ref="F600">IFERROR(atlaide(E600,B600),"Kluda!")</f>
        <v>-16.98</v>
      </c>
      <c r="G600" s="13"/>
      <c r="H600" s="12">
        <v>0</v>
      </c>
      <c r="I600" s="12" t="b">
        <v>1</v>
      </c>
      <c r="J600" s="13" cm="1">
        <f t="array" ref="J600">palidzibas_d(H600,I600)</f>
        <v>0</v>
      </c>
      <c r="K600" s="13">
        <f>IFERROR(('Invoice Data'!$B600+'Invoice Data'!$D600-'Invoice Data'!$F600-'Invoice Data'!$J600+'Invoice Data'!$G600),"Kluda!")</f>
        <v>3838.98</v>
      </c>
      <c r="L600" s="13">
        <v>0</v>
      </c>
      <c r="M600" s="14" cm="1">
        <f t="array" ref="M600">IFERROR(jauna_bil(D600,F600,J600,B600,L600),"Kluda!")</f>
        <v>4970.9799999999996</v>
      </c>
    </row>
    <row r="601" spans="1:13" x14ac:dyDescent="0.25">
      <c r="A601" s="12">
        <v>36404</v>
      </c>
      <c r="B601" s="13">
        <v>0</v>
      </c>
      <c r="C601" s="12"/>
      <c r="D601" s="13">
        <v>5049</v>
      </c>
      <c r="E601" s="12">
        <v>1</v>
      </c>
      <c r="F601" s="13" cm="1">
        <f t="array" ref="F601">IFERROR(atlaide(E601,B601),"Kluda!")</f>
        <v>0</v>
      </c>
      <c r="G601" s="13"/>
      <c r="H601" s="12">
        <v>2</v>
      </c>
      <c r="I601" s="12"/>
      <c r="J601" s="13" cm="1">
        <f t="array" ref="J601">palidzibas_d(H601,I601)</f>
        <v>0</v>
      </c>
      <c r="K601" s="13">
        <f>IFERROR(('Invoice Data'!$B601+'Invoice Data'!$D601-'Invoice Data'!$F601-'Invoice Data'!$J601+'Invoice Data'!$G601),"Kluda!")</f>
        <v>5049</v>
      </c>
      <c r="L601" s="13">
        <v>0</v>
      </c>
      <c r="M601" s="14" cm="1">
        <f t="array" ref="M601">IFERROR(jauna_bil(D601,F601,J601,B601,L601),"Kluda!")</f>
        <v>5049</v>
      </c>
    </row>
    <row r="602" spans="1:13" x14ac:dyDescent="0.25">
      <c r="A602" s="12">
        <v>36413</v>
      </c>
      <c r="B602" s="13">
        <v>0</v>
      </c>
      <c r="C602" s="12"/>
      <c r="D602" s="13">
        <v>10003</v>
      </c>
      <c r="E602" s="12">
        <v>2</v>
      </c>
      <c r="F602" s="13" cm="1">
        <f t="array" ref="F602">IFERROR(atlaide(E602,B602),"Kluda!")</f>
        <v>0</v>
      </c>
      <c r="G602" s="13"/>
      <c r="H602" s="12">
        <v>5</v>
      </c>
      <c r="I602" s="12"/>
      <c r="J602" s="13" cm="1">
        <f t="array" ref="J602">palidzibas_d(H602,I602)</f>
        <v>0</v>
      </c>
      <c r="K602" s="13">
        <f>IFERROR(('Invoice Data'!$B602+'Invoice Data'!$D602-'Invoice Data'!$F602-'Invoice Data'!$J602+'Invoice Data'!$G602),"Kluda!")</f>
        <v>10003</v>
      </c>
      <c r="L602" s="13">
        <v>0</v>
      </c>
      <c r="M602" s="14" cm="1">
        <f t="array" ref="M602">IFERROR(jauna_bil(D602,F602,J602,B602,L602),"Kluda!")</f>
        <v>10003</v>
      </c>
    </row>
    <row r="603" spans="1:13" x14ac:dyDescent="0.25">
      <c r="A603" s="12">
        <v>36431</v>
      </c>
      <c r="B603" s="13">
        <v>0</v>
      </c>
      <c r="C603" s="12"/>
      <c r="D603" s="13">
        <v>7086</v>
      </c>
      <c r="E603" s="12">
        <v>2</v>
      </c>
      <c r="F603" s="13" cm="1">
        <f t="array" ref="F603">IFERROR(atlaide(E603,B603),"Kluda!")</f>
        <v>0</v>
      </c>
      <c r="G603" s="13"/>
      <c r="H603" s="12">
        <v>4</v>
      </c>
      <c r="I603" s="12"/>
      <c r="J603" s="13" cm="1">
        <f t="array" ref="J603">palidzibas_d(H603,I603)</f>
        <v>0</v>
      </c>
      <c r="K603" s="13">
        <f>IFERROR(('Invoice Data'!$B603+'Invoice Data'!$D603-'Invoice Data'!$F603-'Invoice Data'!$J603+'Invoice Data'!$G603),"Kluda!")</f>
        <v>7086</v>
      </c>
      <c r="L603" s="13">
        <v>0</v>
      </c>
      <c r="M603" s="14" cm="1">
        <f t="array" ref="M603">IFERROR(jauna_bil(D603,F603,J603,B603,L603),"Kluda!")</f>
        <v>7086</v>
      </c>
    </row>
    <row r="604" spans="1:13" x14ac:dyDescent="0.25">
      <c r="A604" s="12">
        <v>36440</v>
      </c>
      <c r="B604" s="13">
        <v>0</v>
      </c>
      <c r="C604" s="12"/>
      <c r="D604" s="13">
        <v>8436</v>
      </c>
      <c r="E604" s="12">
        <v>2</v>
      </c>
      <c r="F604" s="13" cm="1">
        <f t="array" ref="F604">IFERROR(atlaide(E604,B604),"Kluda!")</f>
        <v>0</v>
      </c>
      <c r="G604" s="13"/>
      <c r="H604" s="12">
        <v>16</v>
      </c>
      <c r="I604" s="12"/>
      <c r="J604" s="13" cm="1">
        <f t="array" ref="J604">palidzibas_d(H604,I604)</f>
        <v>0</v>
      </c>
      <c r="K604" s="13">
        <f>IFERROR(('Invoice Data'!$B604+'Invoice Data'!$D604-'Invoice Data'!$F604-'Invoice Data'!$J604+'Invoice Data'!$G604),"Kluda!")</f>
        <v>8436</v>
      </c>
      <c r="L604" s="13">
        <v>0</v>
      </c>
      <c r="M604" s="14" cm="1">
        <f t="array" ref="M604">IFERROR(jauna_bil(D604,F604,J604,B604,L604),"Kluda!")</f>
        <v>8436</v>
      </c>
    </row>
    <row r="605" spans="1:13" x14ac:dyDescent="0.25">
      <c r="A605" s="12">
        <v>36459</v>
      </c>
      <c r="B605" s="13">
        <v>-1593</v>
      </c>
      <c r="C605" s="12" t="s">
        <v>2</v>
      </c>
      <c r="D605" s="13">
        <v>4730</v>
      </c>
      <c r="E605" s="12">
        <v>1</v>
      </c>
      <c r="F605" s="13" cm="1">
        <f t="array" ref="F605">IFERROR(atlaide(E605,B605),"Kluda!")</f>
        <v>-47.79</v>
      </c>
      <c r="G605" s="13"/>
      <c r="H605" s="12">
        <v>5</v>
      </c>
      <c r="I605" s="12"/>
      <c r="J605" s="13" cm="1">
        <f t="array" ref="J605">palidzibas_d(H605,I605)</f>
        <v>0</v>
      </c>
      <c r="K605" s="13">
        <f>IFERROR(('Invoice Data'!$B605+'Invoice Data'!$D605-'Invoice Data'!$F605-'Invoice Data'!$J605+'Invoice Data'!$G605),"Kluda!")</f>
        <v>3184.79</v>
      </c>
      <c r="L605" s="13">
        <v>0</v>
      </c>
      <c r="M605" s="14" cm="1">
        <f t="array" ref="M605">IFERROR(jauna_bil(D605,F605,J605,B605,L605),"Kluda!")</f>
        <v>6370.79</v>
      </c>
    </row>
    <row r="606" spans="1:13" x14ac:dyDescent="0.25">
      <c r="A606" s="12">
        <v>36468</v>
      </c>
      <c r="B606" s="13">
        <v>0</v>
      </c>
      <c r="C606" s="12"/>
      <c r="D606" s="13">
        <v>4774</v>
      </c>
      <c r="E606" s="12">
        <v>1</v>
      </c>
      <c r="F606" s="13" cm="1">
        <f t="array" ref="F606">IFERROR(atlaide(E606,B606),"Kluda!")</f>
        <v>0</v>
      </c>
      <c r="G606" s="13"/>
      <c r="H606" s="12">
        <v>11</v>
      </c>
      <c r="I606" s="12"/>
      <c r="J606" s="13" cm="1">
        <f t="array" ref="J606">palidzibas_d(H606,I606)</f>
        <v>0</v>
      </c>
      <c r="K606" s="13">
        <f>IFERROR(('Invoice Data'!$B606+'Invoice Data'!$D606-'Invoice Data'!$F606-'Invoice Data'!$J606+'Invoice Data'!$G606),"Kluda!")</f>
        <v>4774</v>
      </c>
      <c r="L606" s="13">
        <v>0</v>
      </c>
      <c r="M606" s="14" cm="1">
        <f t="array" ref="M606">IFERROR(jauna_bil(D606,F606,J606,B606,L606),"Kluda!")</f>
        <v>4774</v>
      </c>
    </row>
    <row r="607" spans="1:13" x14ac:dyDescent="0.25">
      <c r="A607" s="12">
        <v>36477</v>
      </c>
      <c r="B607" s="13">
        <v>0</v>
      </c>
      <c r="C607" s="12"/>
      <c r="D607" s="13">
        <v>3899</v>
      </c>
      <c r="E607" s="12">
        <v>1</v>
      </c>
      <c r="F607" s="13" cm="1">
        <f t="array" ref="F607">IFERROR(atlaide(E607,B607),"Kluda!")</f>
        <v>0</v>
      </c>
      <c r="G607" s="13"/>
      <c r="H607" s="12">
        <v>3</v>
      </c>
      <c r="I607" s="12"/>
      <c r="J607" s="13" cm="1">
        <f t="array" ref="J607">palidzibas_d(H607,I607)</f>
        <v>0</v>
      </c>
      <c r="K607" s="13">
        <f>IFERROR(('Invoice Data'!$B607+'Invoice Data'!$D607-'Invoice Data'!$F607-'Invoice Data'!$J607+'Invoice Data'!$G607),"Kluda!")</f>
        <v>3899</v>
      </c>
      <c r="L607" s="13">
        <v>0</v>
      </c>
      <c r="M607" s="14" cm="1">
        <f t="array" ref="M607">IFERROR(jauna_bil(D607,F607,J607,B607,L607),"Kluda!")</f>
        <v>3899</v>
      </c>
    </row>
    <row r="608" spans="1:13" x14ac:dyDescent="0.25">
      <c r="A608" s="12">
        <v>36486</v>
      </c>
      <c r="B608" s="13">
        <v>0</v>
      </c>
      <c r="C608" s="12"/>
      <c r="D608" s="13">
        <v>3237</v>
      </c>
      <c r="E608" s="12">
        <v>1</v>
      </c>
      <c r="F608" s="13" cm="1">
        <f t="array" ref="F608">IFERROR(atlaide(E608,B608),"Kluda!")</f>
        <v>0</v>
      </c>
      <c r="G608" s="13"/>
      <c r="H608" s="12">
        <v>6</v>
      </c>
      <c r="I608" s="12"/>
      <c r="J608" s="13" cm="1">
        <f t="array" ref="J608">palidzibas_d(H608,I608)</f>
        <v>0</v>
      </c>
      <c r="K608" s="13">
        <f>IFERROR(('Invoice Data'!$B608+'Invoice Data'!$D608-'Invoice Data'!$F608-'Invoice Data'!$J608+'Invoice Data'!$G608),"Kluda!")</f>
        <v>3237</v>
      </c>
      <c r="L608" s="13">
        <v>0</v>
      </c>
      <c r="M608" s="14" cm="1">
        <f t="array" ref="M608">IFERROR(jauna_bil(D608,F608,J608,B608,L608),"Kluda!")</f>
        <v>3237</v>
      </c>
    </row>
    <row r="609" spans="1:13" x14ac:dyDescent="0.25">
      <c r="A609" s="12">
        <v>36495</v>
      </c>
      <c r="B609" s="13">
        <v>0</v>
      </c>
      <c r="C609" s="12"/>
      <c r="D609" s="13">
        <v>7426</v>
      </c>
      <c r="E609" s="12">
        <v>2</v>
      </c>
      <c r="F609" s="13" cm="1">
        <f t="array" ref="F609">IFERROR(atlaide(E609,B609),"Kluda!")</f>
        <v>0</v>
      </c>
      <c r="G609" s="13"/>
      <c r="H609" s="12">
        <v>10</v>
      </c>
      <c r="I609" s="12"/>
      <c r="J609" s="13" cm="1">
        <f t="array" ref="J609">palidzibas_d(H609,I609)</f>
        <v>0</v>
      </c>
      <c r="K609" s="13">
        <f>IFERROR(('Invoice Data'!$B609+'Invoice Data'!$D609-'Invoice Data'!$F609-'Invoice Data'!$J609+'Invoice Data'!$G609),"Kluda!")</f>
        <v>7426</v>
      </c>
      <c r="L609" s="13">
        <v>0</v>
      </c>
      <c r="M609" s="14" cm="1">
        <f t="array" ref="M609">IFERROR(jauna_bil(D609,F609,J609,B609,L609),"Kluda!")</f>
        <v>7426</v>
      </c>
    </row>
    <row r="610" spans="1:13" x14ac:dyDescent="0.25">
      <c r="A610" s="12">
        <v>36501</v>
      </c>
      <c r="B610" s="13">
        <v>0</v>
      </c>
      <c r="C610" s="12"/>
      <c r="D610" s="13">
        <v>9563</v>
      </c>
      <c r="E610" s="12">
        <v>2</v>
      </c>
      <c r="F610" s="13" cm="1">
        <f t="array" ref="F610">IFERROR(atlaide(E610,B610),"Kluda!")</f>
        <v>0</v>
      </c>
      <c r="G610" s="13"/>
      <c r="H610" s="12">
        <v>2</v>
      </c>
      <c r="I610" s="12"/>
      <c r="J610" s="13" cm="1">
        <f t="array" ref="J610">palidzibas_d(H610,I610)</f>
        <v>0</v>
      </c>
      <c r="K610" s="13">
        <f>IFERROR(('Invoice Data'!$B610+'Invoice Data'!$D610-'Invoice Data'!$F610-'Invoice Data'!$J610+'Invoice Data'!$G610),"Kluda!")</f>
        <v>9563</v>
      </c>
      <c r="L610" s="13">
        <v>0</v>
      </c>
      <c r="M610" s="14" cm="1">
        <f t="array" ref="M610">IFERROR(jauna_bil(D610,F610,J610,B610,L610),"Kluda!")</f>
        <v>9563</v>
      </c>
    </row>
    <row r="611" spans="1:13" x14ac:dyDescent="0.25">
      <c r="A611" s="12">
        <v>36510</v>
      </c>
      <c r="B611" s="13">
        <v>0</v>
      </c>
      <c r="C611" s="12"/>
      <c r="D611" s="13">
        <v>6798</v>
      </c>
      <c r="E611" s="12">
        <v>2</v>
      </c>
      <c r="F611" s="13" cm="1">
        <f t="array" ref="F611">IFERROR(atlaide(E611,B611),"Kluda!")</f>
        <v>0</v>
      </c>
      <c r="G611" s="13"/>
      <c r="H611" s="12">
        <v>16</v>
      </c>
      <c r="I611" s="12"/>
      <c r="J611" s="13" cm="1">
        <f t="array" ref="J611">palidzibas_d(H611,I611)</f>
        <v>0</v>
      </c>
      <c r="K611" s="13">
        <f>IFERROR(('Invoice Data'!$B611+'Invoice Data'!$D611-'Invoice Data'!$F611-'Invoice Data'!$J611+'Invoice Data'!$G611),"Kluda!")</f>
        <v>6798</v>
      </c>
      <c r="L611" s="13">
        <v>0</v>
      </c>
      <c r="M611" s="14" cm="1">
        <f t="array" ref="M611">IFERROR(jauna_bil(D611,F611,J611,B611,L611),"Kluda!")</f>
        <v>6798</v>
      </c>
    </row>
    <row r="612" spans="1:13" x14ac:dyDescent="0.25">
      <c r="A612" s="12">
        <v>36529</v>
      </c>
      <c r="B612" s="13">
        <v>0</v>
      </c>
      <c r="C612" s="12"/>
      <c r="D612" s="13">
        <v>6686</v>
      </c>
      <c r="E612" s="12">
        <v>2</v>
      </c>
      <c r="F612" s="13" cm="1">
        <f t="array" ref="F612">IFERROR(atlaide(E612,B612),"Kluda!")</f>
        <v>0</v>
      </c>
      <c r="G612" s="13"/>
      <c r="H612" s="12">
        <v>5</v>
      </c>
      <c r="I612" s="12"/>
      <c r="J612" s="13" cm="1">
        <f t="array" ref="J612">palidzibas_d(H612,I612)</f>
        <v>0</v>
      </c>
      <c r="K612" s="13">
        <f>IFERROR(('Invoice Data'!$B612+'Invoice Data'!$D612-'Invoice Data'!$F612-'Invoice Data'!$J612+'Invoice Data'!$G612),"Kluda!")</f>
        <v>6686</v>
      </c>
      <c r="L612" s="13">
        <v>0</v>
      </c>
      <c r="M612" s="14" cm="1">
        <f t="array" ref="M612">IFERROR(jauna_bil(D612,F612,J612,B612,L612),"Kluda!")</f>
        <v>6686</v>
      </c>
    </row>
    <row r="613" spans="1:13" x14ac:dyDescent="0.25">
      <c r="A613" s="12">
        <v>36538</v>
      </c>
      <c r="B613" s="13">
        <v>0</v>
      </c>
      <c r="C613" s="12"/>
      <c r="D613" s="13">
        <v>9783</v>
      </c>
      <c r="E613" s="12">
        <v>2</v>
      </c>
      <c r="F613" s="13" cm="1">
        <f t="array" ref="F613">IFERROR(atlaide(E613,B613),"Kluda!")</f>
        <v>0</v>
      </c>
      <c r="G613" s="13"/>
      <c r="H613" s="12">
        <v>14</v>
      </c>
      <c r="I613" s="12"/>
      <c r="J613" s="13" cm="1">
        <f t="array" ref="J613">palidzibas_d(H613,I613)</f>
        <v>0</v>
      </c>
      <c r="K613" s="13">
        <f>IFERROR(('Invoice Data'!$B613+'Invoice Data'!$D613-'Invoice Data'!$F613-'Invoice Data'!$J613+'Invoice Data'!$G613),"Kluda!")</f>
        <v>9783</v>
      </c>
      <c r="L613" s="13">
        <v>0</v>
      </c>
      <c r="M613" s="14" cm="1">
        <f t="array" ref="M613">IFERROR(jauna_bil(D613,F613,J613,B613,L613),"Kluda!")</f>
        <v>9783</v>
      </c>
    </row>
    <row r="614" spans="1:13" x14ac:dyDescent="0.25">
      <c r="A614" s="12">
        <v>36547</v>
      </c>
      <c r="B614" s="13">
        <v>0</v>
      </c>
      <c r="C614" s="12"/>
      <c r="D614" s="13">
        <v>7562</v>
      </c>
      <c r="E614" s="12">
        <v>2</v>
      </c>
      <c r="F614" s="13" cm="1">
        <f t="array" ref="F614">IFERROR(atlaide(E614,B614),"Kluda!")</f>
        <v>0</v>
      </c>
      <c r="G614" s="13"/>
      <c r="H614" s="12">
        <v>0</v>
      </c>
      <c r="I614" s="12"/>
      <c r="J614" s="13" cm="1">
        <f t="array" ref="J614">palidzibas_d(H614,I614)</f>
        <v>0</v>
      </c>
      <c r="K614" s="13">
        <f>IFERROR(('Invoice Data'!$B614+'Invoice Data'!$D614-'Invoice Data'!$F614-'Invoice Data'!$J614+'Invoice Data'!$G614),"Kluda!")</f>
        <v>7562</v>
      </c>
      <c r="L614" s="13">
        <v>0</v>
      </c>
      <c r="M614" s="14" cm="1">
        <f t="array" ref="M614">IFERROR(jauna_bil(D614,F614,J614,B614,L614),"Kluda!")</f>
        <v>7562</v>
      </c>
    </row>
    <row r="615" spans="1:13" x14ac:dyDescent="0.25">
      <c r="A615" s="12">
        <v>36556</v>
      </c>
      <c r="B615" s="13">
        <v>0</v>
      </c>
      <c r="C615" s="12"/>
      <c r="D615" s="13">
        <v>3600</v>
      </c>
      <c r="E615" s="12">
        <v>1</v>
      </c>
      <c r="F615" s="13" cm="1">
        <f t="array" ref="F615">IFERROR(atlaide(E615,B615),"Kluda!")</f>
        <v>0</v>
      </c>
      <c r="G615" s="13"/>
      <c r="H615" s="12">
        <v>8</v>
      </c>
      <c r="I615" s="12"/>
      <c r="J615" s="13" cm="1">
        <f t="array" ref="J615">palidzibas_d(H615,I615)</f>
        <v>0</v>
      </c>
      <c r="K615" s="13">
        <f>IFERROR(('Invoice Data'!$B615+'Invoice Data'!$D615-'Invoice Data'!$F615-'Invoice Data'!$J615+'Invoice Data'!$G615),"Kluda!")</f>
        <v>3600</v>
      </c>
      <c r="L615" s="13">
        <v>0</v>
      </c>
      <c r="M615" s="14" cm="1">
        <f t="array" ref="M615">IFERROR(jauna_bil(D615,F615,J615,B615,L615),"Kluda!")</f>
        <v>3600</v>
      </c>
    </row>
    <row r="616" spans="1:13" x14ac:dyDescent="0.25">
      <c r="A616" s="12">
        <v>36565</v>
      </c>
      <c r="B616" s="13">
        <v>0</v>
      </c>
      <c r="C616" s="12"/>
      <c r="D616" s="13">
        <v>8292</v>
      </c>
      <c r="E616" s="12">
        <v>2</v>
      </c>
      <c r="F616" s="13" cm="1">
        <f t="array" ref="F616">IFERROR(atlaide(E616,B616),"Kluda!")</f>
        <v>0</v>
      </c>
      <c r="G616" s="13"/>
      <c r="H616" s="12">
        <v>5</v>
      </c>
      <c r="I616" s="12"/>
      <c r="J616" s="13" cm="1">
        <f t="array" ref="J616">palidzibas_d(H616,I616)</f>
        <v>0</v>
      </c>
      <c r="K616" s="13">
        <f>IFERROR(('Invoice Data'!$B616+'Invoice Data'!$D616-'Invoice Data'!$F616-'Invoice Data'!$J616+'Invoice Data'!$G616),"Kluda!")</f>
        <v>8292</v>
      </c>
      <c r="L616" s="13">
        <v>0</v>
      </c>
      <c r="M616" s="14" cm="1">
        <f t="array" ref="M616">IFERROR(jauna_bil(D616,F616,J616,B616,L616),"Kluda!")</f>
        <v>8292</v>
      </c>
    </row>
    <row r="617" spans="1:13" x14ac:dyDescent="0.25">
      <c r="A617" s="12">
        <v>36574</v>
      </c>
      <c r="B617" s="13">
        <v>0</v>
      </c>
      <c r="C617" s="12"/>
      <c r="D617" s="13">
        <v>9653</v>
      </c>
      <c r="E617" s="12">
        <v>2</v>
      </c>
      <c r="F617" s="13" cm="1">
        <f t="array" ref="F617">IFERROR(atlaide(E617,B617),"Kluda!")</f>
        <v>0</v>
      </c>
      <c r="G617" s="13"/>
      <c r="H617" s="12">
        <v>11</v>
      </c>
      <c r="I617" s="12"/>
      <c r="J617" s="13" cm="1">
        <f t="array" ref="J617">palidzibas_d(H617,I617)</f>
        <v>0</v>
      </c>
      <c r="K617" s="13">
        <f>IFERROR(('Invoice Data'!$B617+'Invoice Data'!$D617-'Invoice Data'!$F617-'Invoice Data'!$J617+'Invoice Data'!$G617),"Kluda!")</f>
        <v>9653</v>
      </c>
      <c r="L617" s="13">
        <v>0</v>
      </c>
      <c r="M617" s="14" cm="1">
        <f t="array" ref="M617">IFERROR(jauna_bil(D617,F617,J617,B617,L617),"Kluda!")</f>
        <v>9653</v>
      </c>
    </row>
    <row r="618" spans="1:13" x14ac:dyDescent="0.25">
      <c r="A618" s="12">
        <v>36583</v>
      </c>
      <c r="B618" s="13">
        <v>0</v>
      </c>
      <c r="C618" s="12"/>
      <c r="D618" s="13">
        <v>4107</v>
      </c>
      <c r="E618" s="12">
        <v>1</v>
      </c>
      <c r="F618" s="13" cm="1">
        <f t="array" ref="F618">IFERROR(atlaide(E618,B618),"Kluda!")</f>
        <v>0</v>
      </c>
      <c r="G618" s="13"/>
      <c r="H618" s="12">
        <v>0</v>
      </c>
      <c r="I618" s="12"/>
      <c r="J618" s="13" cm="1">
        <f t="array" ref="J618">palidzibas_d(H618,I618)</f>
        <v>0</v>
      </c>
      <c r="K618" s="13">
        <f>IFERROR(('Invoice Data'!$B618+'Invoice Data'!$D618-'Invoice Data'!$F618-'Invoice Data'!$J618+'Invoice Data'!$G618),"Kluda!")</f>
        <v>4107</v>
      </c>
      <c r="L618" s="13">
        <v>0</v>
      </c>
      <c r="M618" s="14" cm="1">
        <f t="array" ref="M618">IFERROR(jauna_bil(D618,F618,J618,B618,L618),"Kluda!")</f>
        <v>4107</v>
      </c>
    </row>
    <row r="619" spans="1:13" x14ac:dyDescent="0.25">
      <c r="A619" s="12">
        <v>36592</v>
      </c>
      <c r="B619" s="13">
        <v>0</v>
      </c>
      <c r="C619" s="12"/>
      <c r="D619" s="13">
        <v>8039</v>
      </c>
      <c r="E619" s="12">
        <v>2</v>
      </c>
      <c r="F619" s="13" cm="1">
        <f t="array" ref="F619">IFERROR(atlaide(E619,B619),"Kluda!")</f>
        <v>0</v>
      </c>
      <c r="G619" s="13"/>
      <c r="H619" s="12">
        <v>13</v>
      </c>
      <c r="I619" s="12"/>
      <c r="J619" s="13" cm="1">
        <f t="array" ref="J619">palidzibas_d(H619,I619)</f>
        <v>0</v>
      </c>
      <c r="K619" s="13">
        <f>IFERROR(('Invoice Data'!$B619+'Invoice Data'!$D619-'Invoice Data'!$F619-'Invoice Data'!$J619+'Invoice Data'!$G619),"Kluda!")</f>
        <v>8039</v>
      </c>
      <c r="L619" s="13">
        <v>0</v>
      </c>
      <c r="M619" s="14" cm="1">
        <f t="array" ref="M619">IFERROR(jauna_bil(D619,F619,J619,B619,L619),"Kluda!")</f>
        <v>8039</v>
      </c>
    </row>
    <row r="620" spans="1:13" x14ac:dyDescent="0.25">
      <c r="A620" s="12">
        <v>36609</v>
      </c>
      <c r="B620" s="13">
        <v>0</v>
      </c>
      <c r="C620" s="12"/>
      <c r="D620" s="13">
        <v>7100</v>
      </c>
      <c r="E620" s="12">
        <v>2</v>
      </c>
      <c r="F620" s="13" cm="1">
        <f t="array" ref="F620">IFERROR(atlaide(E620,B620),"Kluda!")</f>
        <v>0</v>
      </c>
      <c r="G620" s="13"/>
      <c r="H620" s="12">
        <v>16</v>
      </c>
      <c r="I620" s="12"/>
      <c r="J620" s="13" cm="1">
        <f t="array" ref="J620">palidzibas_d(H620,I620)</f>
        <v>0</v>
      </c>
      <c r="K620" s="13">
        <f>IFERROR(('Invoice Data'!$B620+'Invoice Data'!$D620-'Invoice Data'!$F620-'Invoice Data'!$J620+'Invoice Data'!$G620),"Kluda!")</f>
        <v>7100</v>
      </c>
      <c r="L620" s="13">
        <v>0</v>
      </c>
      <c r="M620" s="14" cm="1">
        <f t="array" ref="M620">IFERROR(jauna_bil(D620,F620,J620,B620,L620),"Kluda!")</f>
        <v>7100</v>
      </c>
    </row>
    <row r="621" spans="1:13" x14ac:dyDescent="0.25">
      <c r="A621" s="12">
        <v>36618</v>
      </c>
      <c r="B621" s="13">
        <v>0</v>
      </c>
      <c r="C621" s="12"/>
      <c r="D621" s="13">
        <v>8693</v>
      </c>
      <c r="E621" s="12">
        <v>2</v>
      </c>
      <c r="F621" s="13" cm="1">
        <f t="array" ref="F621">IFERROR(atlaide(E621,B621),"Kluda!")</f>
        <v>0</v>
      </c>
      <c r="G621" s="13"/>
      <c r="H621" s="12">
        <v>15</v>
      </c>
      <c r="I621" s="12"/>
      <c r="J621" s="13" cm="1">
        <f t="array" ref="J621">palidzibas_d(H621,I621)</f>
        <v>0</v>
      </c>
      <c r="K621" s="13">
        <f>IFERROR(('Invoice Data'!$B621+'Invoice Data'!$D621-'Invoice Data'!$F621-'Invoice Data'!$J621+'Invoice Data'!$G621),"Kluda!")</f>
        <v>8693</v>
      </c>
      <c r="L621" s="13">
        <v>0</v>
      </c>
      <c r="M621" s="14" cm="1">
        <f t="array" ref="M621">IFERROR(jauna_bil(D621,F621,J621,B621,L621),"Kluda!")</f>
        <v>8693</v>
      </c>
    </row>
    <row r="622" spans="1:13" x14ac:dyDescent="0.25">
      <c r="A622" s="12">
        <v>36627</v>
      </c>
      <c r="B622" s="13">
        <v>0</v>
      </c>
      <c r="C622" s="12"/>
      <c r="D622" s="13">
        <v>5097</v>
      </c>
      <c r="E622" s="12">
        <v>1</v>
      </c>
      <c r="F622" s="13" cm="1">
        <f t="array" ref="F622">IFERROR(atlaide(E622,B622),"Kluda!")</f>
        <v>0</v>
      </c>
      <c r="G622" s="13"/>
      <c r="H622" s="12">
        <v>3</v>
      </c>
      <c r="I622" s="12"/>
      <c r="J622" s="13" cm="1">
        <f t="array" ref="J622">palidzibas_d(H622,I622)</f>
        <v>0</v>
      </c>
      <c r="K622" s="13">
        <f>IFERROR(('Invoice Data'!$B622+'Invoice Data'!$D622-'Invoice Data'!$F622-'Invoice Data'!$J622+'Invoice Data'!$G622),"Kluda!")</f>
        <v>5097</v>
      </c>
      <c r="L622" s="13">
        <v>0</v>
      </c>
      <c r="M622" s="14" cm="1">
        <f t="array" ref="M622">IFERROR(jauna_bil(D622,F622,J622,B622,L622),"Kluda!")</f>
        <v>5097</v>
      </c>
    </row>
    <row r="623" spans="1:13" x14ac:dyDescent="0.25">
      <c r="A623" s="12">
        <v>36636</v>
      </c>
      <c r="B623" s="13">
        <v>0</v>
      </c>
      <c r="C623" s="12"/>
      <c r="D623" s="13">
        <v>9941</v>
      </c>
      <c r="E623" s="12">
        <v>2</v>
      </c>
      <c r="F623" s="13" cm="1">
        <f t="array" ref="F623">IFERROR(atlaide(E623,B623),"Kluda!")</f>
        <v>0</v>
      </c>
      <c r="G623" s="13"/>
      <c r="H623" s="12">
        <v>11</v>
      </c>
      <c r="I623" s="12"/>
      <c r="J623" s="13" cm="1">
        <f t="array" ref="J623">palidzibas_d(H623,I623)</f>
        <v>0</v>
      </c>
      <c r="K623" s="13">
        <f>IFERROR(('Invoice Data'!$B623+'Invoice Data'!$D623-'Invoice Data'!$F623-'Invoice Data'!$J623+'Invoice Data'!$G623),"Kluda!")</f>
        <v>9941</v>
      </c>
      <c r="L623" s="13">
        <v>0</v>
      </c>
      <c r="M623" s="14" cm="1">
        <f t="array" ref="M623">IFERROR(jauna_bil(D623,F623,J623,B623,L623),"Kluda!")</f>
        <v>9941</v>
      </c>
    </row>
    <row r="624" spans="1:13" x14ac:dyDescent="0.25">
      <c r="A624" s="12">
        <v>36645</v>
      </c>
      <c r="B624" s="13">
        <v>0</v>
      </c>
      <c r="C624" s="12"/>
      <c r="D624" s="13">
        <v>10294</v>
      </c>
      <c r="E624" s="12">
        <v>2</v>
      </c>
      <c r="F624" s="13" cm="1">
        <f t="array" ref="F624">IFERROR(atlaide(E624,B624),"Kluda!")</f>
        <v>0</v>
      </c>
      <c r="G624" s="13"/>
      <c r="H624" s="12">
        <v>12</v>
      </c>
      <c r="I624" s="12"/>
      <c r="J624" s="13" cm="1">
        <f t="array" ref="J624">palidzibas_d(H624,I624)</f>
        <v>0</v>
      </c>
      <c r="K624" s="13">
        <f>IFERROR(('Invoice Data'!$B624+'Invoice Data'!$D624-'Invoice Data'!$F624-'Invoice Data'!$J624+'Invoice Data'!$G624),"Kluda!")</f>
        <v>10294</v>
      </c>
      <c r="L624" s="13">
        <v>0</v>
      </c>
      <c r="M624" s="14" cm="1">
        <f t="array" ref="M624">IFERROR(jauna_bil(D624,F624,J624,B624,L624),"Kluda!")</f>
        <v>10294</v>
      </c>
    </row>
    <row r="625" spans="1:13" x14ac:dyDescent="0.25">
      <c r="A625" s="12">
        <v>36654</v>
      </c>
      <c r="B625" s="13">
        <v>0</v>
      </c>
      <c r="C625" s="12"/>
      <c r="D625" s="13">
        <v>9733</v>
      </c>
      <c r="E625" s="12">
        <v>2</v>
      </c>
      <c r="F625" s="13" cm="1">
        <f t="array" ref="F625">IFERROR(atlaide(E625,B625),"Kluda!")</f>
        <v>0</v>
      </c>
      <c r="G625" s="13"/>
      <c r="H625" s="12">
        <v>9</v>
      </c>
      <c r="I625" s="12"/>
      <c r="J625" s="13" cm="1">
        <f t="array" ref="J625">palidzibas_d(H625,I625)</f>
        <v>0</v>
      </c>
      <c r="K625" s="13">
        <f>IFERROR(('Invoice Data'!$B625+'Invoice Data'!$D625-'Invoice Data'!$F625-'Invoice Data'!$J625+'Invoice Data'!$G625),"Kluda!")</f>
        <v>9733</v>
      </c>
      <c r="L625" s="13">
        <v>0</v>
      </c>
      <c r="M625" s="14" cm="1">
        <f t="array" ref="M625">IFERROR(jauna_bil(D625,F625,J625,B625,L625),"Kluda!")</f>
        <v>9733</v>
      </c>
    </row>
    <row r="626" spans="1:13" x14ac:dyDescent="0.25">
      <c r="A626" s="12">
        <v>36663</v>
      </c>
      <c r="B626" s="13">
        <v>0</v>
      </c>
      <c r="C626" s="12"/>
      <c r="D626" s="13">
        <v>8255</v>
      </c>
      <c r="E626" s="12">
        <v>2</v>
      </c>
      <c r="F626" s="13" cm="1">
        <f t="array" ref="F626">IFERROR(atlaide(E626,B626),"Kluda!")</f>
        <v>0</v>
      </c>
      <c r="G626" s="13"/>
      <c r="H626" s="12">
        <v>6</v>
      </c>
      <c r="I626" s="12"/>
      <c r="J626" s="13" cm="1">
        <f t="array" ref="J626">palidzibas_d(H626,I626)</f>
        <v>0</v>
      </c>
      <c r="K626" s="13">
        <f>IFERROR(('Invoice Data'!$B626+'Invoice Data'!$D626-'Invoice Data'!$F626-'Invoice Data'!$J626+'Invoice Data'!$G626),"Kluda!")</f>
        <v>8255</v>
      </c>
      <c r="L626" s="13">
        <v>0</v>
      </c>
      <c r="M626" s="14" cm="1">
        <f t="array" ref="M626">IFERROR(jauna_bil(D626,F626,J626,B626,L626),"Kluda!")</f>
        <v>8255</v>
      </c>
    </row>
    <row r="627" spans="1:13" x14ac:dyDescent="0.25">
      <c r="A627" s="12">
        <v>36672</v>
      </c>
      <c r="B627" s="13">
        <v>0</v>
      </c>
      <c r="C627" s="12"/>
      <c r="D627" s="13">
        <v>7159</v>
      </c>
      <c r="E627" s="12">
        <v>2</v>
      </c>
      <c r="F627" s="13" cm="1">
        <f t="array" ref="F627">IFERROR(atlaide(E627,B627),"Kluda!")</f>
        <v>0</v>
      </c>
      <c r="G627" s="13"/>
      <c r="H627" s="12">
        <v>9</v>
      </c>
      <c r="I627" s="12"/>
      <c r="J627" s="13" cm="1">
        <f t="array" ref="J627">palidzibas_d(H627,I627)</f>
        <v>0</v>
      </c>
      <c r="K627" s="13">
        <f>IFERROR(('Invoice Data'!$B627+'Invoice Data'!$D627-'Invoice Data'!$F627-'Invoice Data'!$J627+'Invoice Data'!$G627),"Kluda!")</f>
        <v>7159</v>
      </c>
      <c r="L627" s="13">
        <v>0</v>
      </c>
      <c r="M627" s="14" cm="1">
        <f t="array" ref="M627">IFERROR(jauna_bil(D627,F627,J627,B627,L627),"Kluda!")</f>
        <v>7159</v>
      </c>
    </row>
    <row r="628" spans="1:13" x14ac:dyDescent="0.25">
      <c r="A628" s="12">
        <v>36681</v>
      </c>
      <c r="B628" s="13">
        <v>0</v>
      </c>
      <c r="C628" s="12"/>
      <c r="D628" s="13">
        <v>5033</v>
      </c>
      <c r="E628" s="12">
        <v>1</v>
      </c>
      <c r="F628" s="13" cm="1">
        <f t="array" ref="F628">IFERROR(atlaide(E628,B628),"Kluda!")</f>
        <v>0</v>
      </c>
      <c r="G628" s="13"/>
      <c r="H628" s="12">
        <v>4</v>
      </c>
      <c r="I628" s="12"/>
      <c r="J628" s="13" cm="1">
        <f t="array" ref="J628">palidzibas_d(H628,I628)</f>
        <v>0</v>
      </c>
      <c r="K628" s="13">
        <f>IFERROR(('Invoice Data'!$B628+'Invoice Data'!$D628-'Invoice Data'!$F628-'Invoice Data'!$J628+'Invoice Data'!$G628),"Kluda!")</f>
        <v>5033</v>
      </c>
      <c r="L628" s="13">
        <v>0</v>
      </c>
      <c r="M628" s="14" cm="1">
        <f t="array" ref="M628">IFERROR(jauna_bil(D628,F628,J628,B628,L628),"Kluda!")</f>
        <v>5033</v>
      </c>
    </row>
    <row r="629" spans="1:13" x14ac:dyDescent="0.25">
      <c r="A629" s="12">
        <v>36690</v>
      </c>
      <c r="B629" s="13">
        <v>0</v>
      </c>
      <c r="C629" s="12"/>
      <c r="D629" s="13">
        <v>4344</v>
      </c>
      <c r="E629" s="12">
        <v>1</v>
      </c>
      <c r="F629" s="13" cm="1">
        <f t="array" ref="F629">IFERROR(atlaide(E629,B629),"Kluda!")</f>
        <v>0</v>
      </c>
      <c r="G629" s="13"/>
      <c r="H629" s="12">
        <v>16</v>
      </c>
      <c r="I629" s="12"/>
      <c r="J629" s="13" cm="1">
        <f t="array" ref="J629">palidzibas_d(H629,I629)</f>
        <v>0</v>
      </c>
      <c r="K629" s="13">
        <f>IFERROR(('Invoice Data'!$B629+'Invoice Data'!$D629-'Invoice Data'!$F629-'Invoice Data'!$J629+'Invoice Data'!$G629),"Kluda!")</f>
        <v>4344</v>
      </c>
      <c r="L629" s="13">
        <v>0</v>
      </c>
      <c r="M629" s="14" cm="1">
        <f t="array" ref="M629">IFERROR(jauna_bil(D629,F629,J629,B629,L629),"Kluda!")</f>
        <v>4344</v>
      </c>
    </row>
    <row r="630" spans="1:13" x14ac:dyDescent="0.25">
      <c r="A630" s="12">
        <v>36707</v>
      </c>
      <c r="B630" s="13">
        <v>0</v>
      </c>
      <c r="C630" s="12"/>
      <c r="D630" s="13">
        <v>10273</v>
      </c>
      <c r="E630" s="12">
        <v>2</v>
      </c>
      <c r="F630" s="13" cm="1">
        <f t="array" ref="F630">IFERROR(atlaide(E630,B630),"Kluda!")</f>
        <v>0</v>
      </c>
      <c r="G630" s="13"/>
      <c r="H630" s="12">
        <v>7</v>
      </c>
      <c r="I630" s="12"/>
      <c r="J630" s="13" cm="1">
        <f t="array" ref="J630">palidzibas_d(H630,I630)</f>
        <v>0</v>
      </c>
      <c r="K630" s="13">
        <f>IFERROR(('Invoice Data'!$B630+'Invoice Data'!$D630-'Invoice Data'!$F630-'Invoice Data'!$J630+'Invoice Data'!$G630),"Kluda!")</f>
        <v>10273</v>
      </c>
      <c r="L630" s="13">
        <v>0</v>
      </c>
      <c r="M630" s="14" cm="1">
        <f t="array" ref="M630">IFERROR(jauna_bil(D630,F630,J630,B630,L630),"Kluda!")</f>
        <v>10273</v>
      </c>
    </row>
    <row r="631" spans="1:13" x14ac:dyDescent="0.25">
      <c r="A631" s="12">
        <v>36716</v>
      </c>
      <c r="B631" s="13">
        <v>0</v>
      </c>
      <c r="C631" s="12"/>
      <c r="D631" s="13">
        <v>10250</v>
      </c>
      <c r="E631" s="12">
        <v>2</v>
      </c>
      <c r="F631" s="13" cm="1">
        <f t="array" ref="F631">IFERROR(atlaide(E631,B631),"Kluda!")</f>
        <v>0</v>
      </c>
      <c r="G631" s="13"/>
      <c r="H631" s="12">
        <v>15</v>
      </c>
      <c r="I631" s="12"/>
      <c r="J631" s="13" cm="1">
        <f t="array" ref="J631">palidzibas_d(H631,I631)</f>
        <v>0</v>
      </c>
      <c r="K631" s="13">
        <f>IFERROR(('Invoice Data'!$B631+'Invoice Data'!$D631-'Invoice Data'!$F631-'Invoice Data'!$J631+'Invoice Data'!$G631),"Kluda!")</f>
        <v>10250</v>
      </c>
      <c r="L631" s="13">
        <v>0</v>
      </c>
      <c r="M631" s="14" cm="1">
        <f t="array" ref="M631">IFERROR(jauna_bil(D631,F631,J631,B631,L631),"Kluda!")</f>
        <v>10250</v>
      </c>
    </row>
    <row r="632" spans="1:13" x14ac:dyDescent="0.25">
      <c r="A632" s="12">
        <v>36725</v>
      </c>
      <c r="B632" s="13">
        <v>0</v>
      </c>
      <c r="C632" s="12"/>
      <c r="D632" s="13">
        <v>4776</v>
      </c>
      <c r="E632" s="12">
        <v>1</v>
      </c>
      <c r="F632" s="13" cm="1">
        <f t="array" ref="F632">IFERROR(atlaide(E632,B632),"Kluda!")</f>
        <v>0</v>
      </c>
      <c r="G632" s="13"/>
      <c r="H632" s="12">
        <v>10</v>
      </c>
      <c r="I632" s="12"/>
      <c r="J632" s="13" cm="1">
        <f t="array" ref="J632">palidzibas_d(H632,I632)</f>
        <v>0</v>
      </c>
      <c r="K632" s="13">
        <f>IFERROR(('Invoice Data'!$B632+'Invoice Data'!$D632-'Invoice Data'!$F632-'Invoice Data'!$J632+'Invoice Data'!$G632),"Kluda!")</f>
        <v>4776</v>
      </c>
      <c r="L632" s="13">
        <v>0</v>
      </c>
      <c r="M632" s="14" cm="1">
        <f t="array" ref="M632">IFERROR(jauna_bil(D632,F632,J632,B632,L632),"Kluda!")</f>
        <v>4776</v>
      </c>
    </row>
    <row r="633" spans="1:13" x14ac:dyDescent="0.25">
      <c r="A633" s="12">
        <v>36734</v>
      </c>
      <c r="B633" s="13">
        <v>0</v>
      </c>
      <c r="C633" s="12"/>
      <c r="D633" s="13">
        <v>3657</v>
      </c>
      <c r="E633" s="12">
        <v>1</v>
      </c>
      <c r="F633" s="13" cm="1">
        <f t="array" ref="F633">IFERROR(atlaide(E633,B633),"Kluda!")</f>
        <v>0</v>
      </c>
      <c r="G633" s="13"/>
      <c r="H633" s="12">
        <v>2</v>
      </c>
      <c r="I633" s="12"/>
      <c r="J633" s="13" cm="1">
        <f t="array" ref="J633">palidzibas_d(H633,I633)</f>
        <v>0</v>
      </c>
      <c r="K633" s="13">
        <f>IFERROR(('Invoice Data'!$B633+'Invoice Data'!$D633-'Invoice Data'!$F633-'Invoice Data'!$J633+'Invoice Data'!$G633),"Kluda!")</f>
        <v>3657</v>
      </c>
      <c r="L633" s="13">
        <v>0</v>
      </c>
      <c r="M633" s="14" cm="1">
        <f t="array" ref="M633">IFERROR(jauna_bil(D633,F633,J633,B633,L633),"Kluda!")</f>
        <v>3657</v>
      </c>
    </row>
    <row r="634" spans="1:13" x14ac:dyDescent="0.25">
      <c r="A634" s="12">
        <v>36743</v>
      </c>
      <c r="B634" s="13">
        <v>0</v>
      </c>
      <c r="C634" s="12"/>
      <c r="D634" s="13">
        <v>4144</v>
      </c>
      <c r="E634" s="12">
        <v>1</v>
      </c>
      <c r="F634" s="13" cm="1">
        <f t="array" ref="F634">IFERROR(atlaide(E634,B634),"Kluda!")</f>
        <v>0</v>
      </c>
      <c r="G634" s="13"/>
      <c r="H634" s="12">
        <v>9</v>
      </c>
      <c r="I634" s="12"/>
      <c r="J634" s="13" cm="1">
        <f t="array" ref="J634">palidzibas_d(H634,I634)</f>
        <v>0</v>
      </c>
      <c r="K634" s="13">
        <f>IFERROR(('Invoice Data'!$B634+'Invoice Data'!$D634-'Invoice Data'!$F634-'Invoice Data'!$J634+'Invoice Data'!$G634),"Kluda!")</f>
        <v>4144</v>
      </c>
      <c r="L634" s="13">
        <v>0</v>
      </c>
      <c r="M634" s="14" cm="1">
        <f t="array" ref="M634">IFERROR(jauna_bil(D634,F634,J634,B634,L634),"Kluda!")</f>
        <v>4144</v>
      </c>
    </row>
    <row r="635" spans="1:13" x14ac:dyDescent="0.25">
      <c r="A635" s="12">
        <v>36752</v>
      </c>
      <c r="B635" s="13">
        <v>0</v>
      </c>
      <c r="C635" s="12"/>
      <c r="D635" s="13">
        <v>7097</v>
      </c>
      <c r="E635" s="12">
        <v>2</v>
      </c>
      <c r="F635" s="13" cm="1">
        <f t="array" ref="F635">IFERROR(atlaide(E635,B635),"Kluda!")</f>
        <v>0</v>
      </c>
      <c r="G635" s="13"/>
      <c r="H635" s="12">
        <v>5</v>
      </c>
      <c r="I635" s="12"/>
      <c r="J635" s="13" cm="1">
        <f t="array" ref="J635">palidzibas_d(H635,I635)</f>
        <v>0</v>
      </c>
      <c r="K635" s="13">
        <f>IFERROR(('Invoice Data'!$B635+'Invoice Data'!$D635-'Invoice Data'!$F635-'Invoice Data'!$J635+'Invoice Data'!$G635),"Kluda!")</f>
        <v>7097</v>
      </c>
      <c r="L635" s="13">
        <v>0</v>
      </c>
      <c r="M635" s="14" cm="1">
        <f t="array" ref="M635">IFERROR(jauna_bil(D635,F635,J635,B635,L635),"Kluda!")</f>
        <v>7097</v>
      </c>
    </row>
    <row r="636" spans="1:13" x14ac:dyDescent="0.25">
      <c r="A636" s="12">
        <v>36761</v>
      </c>
      <c r="B636" s="13">
        <v>0</v>
      </c>
      <c r="C636" s="12"/>
      <c r="D636" s="13">
        <v>9031</v>
      </c>
      <c r="E636" s="12">
        <v>2</v>
      </c>
      <c r="F636" s="13" cm="1">
        <f t="array" ref="F636">IFERROR(atlaide(E636,B636),"Kluda!")</f>
        <v>0</v>
      </c>
      <c r="G636" s="13"/>
      <c r="H636" s="12">
        <v>16</v>
      </c>
      <c r="I636" s="12"/>
      <c r="J636" s="13" cm="1">
        <f t="array" ref="J636">palidzibas_d(H636,I636)</f>
        <v>0</v>
      </c>
      <c r="K636" s="13">
        <f>IFERROR(('Invoice Data'!$B636+'Invoice Data'!$D636-'Invoice Data'!$F636-'Invoice Data'!$J636+'Invoice Data'!$G636),"Kluda!")</f>
        <v>9031</v>
      </c>
      <c r="L636" s="13">
        <v>0</v>
      </c>
      <c r="M636" s="14" cm="1">
        <f t="array" ref="M636">IFERROR(jauna_bil(D636,F636,J636,B636,L636),"Kluda!")</f>
        <v>9031</v>
      </c>
    </row>
    <row r="637" spans="1:13" x14ac:dyDescent="0.25">
      <c r="A637" s="12">
        <v>36770</v>
      </c>
      <c r="B637" s="13">
        <v>0</v>
      </c>
      <c r="C637" s="12"/>
      <c r="D637" s="13">
        <v>4447</v>
      </c>
      <c r="E637" s="12">
        <v>1</v>
      </c>
      <c r="F637" s="13" cm="1">
        <f t="array" ref="F637">IFERROR(atlaide(E637,B637),"Kluda!")</f>
        <v>0</v>
      </c>
      <c r="G637" s="13"/>
      <c r="H637" s="12">
        <v>0</v>
      </c>
      <c r="I637" s="12"/>
      <c r="J637" s="13" cm="1">
        <f t="array" ref="J637">palidzibas_d(H637,I637)</f>
        <v>0</v>
      </c>
      <c r="K637" s="13">
        <f>IFERROR(('Invoice Data'!$B637+'Invoice Data'!$D637-'Invoice Data'!$F637-'Invoice Data'!$J637+'Invoice Data'!$G637),"Kluda!")</f>
        <v>4447</v>
      </c>
      <c r="L637" s="13">
        <v>0</v>
      </c>
      <c r="M637" s="14" cm="1">
        <f t="array" ref="M637">IFERROR(jauna_bil(D637,F637,J637,B637,L637),"Kluda!")</f>
        <v>4447</v>
      </c>
    </row>
    <row r="638" spans="1:13" x14ac:dyDescent="0.25">
      <c r="A638" s="12">
        <v>36789</v>
      </c>
      <c r="B638" s="13">
        <v>0</v>
      </c>
      <c r="C638" s="12"/>
      <c r="D638" s="13">
        <v>10385</v>
      </c>
      <c r="E638" s="12">
        <v>2</v>
      </c>
      <c r="F638" s="13" cm="1">
        <f t="array" ref="F638">IFERROR(atlaide(E638,B638),"Kluda!")</f>
        <v>0</v>
      </c>
      <c r="G638" s="13"/>
      <c r="H638" s="12">
        <v>3</v>
      </c>
      <c r="I638" s="12"/>
      <c r="J638" s="13" cm="1">
        <f t="array" ref="J638">palidzibas_d(H638,I638)</f>
        <v>0</v>
      </c>
      <c r="K638" s="13">
        <f>IFERROR(('Invoice Data'!$B638+'Invoice Data'!$D638-'Invoice Data'!$F638-'Invoice Data'!$J638+'Invoice Data'!$G638),"Kluda!")</f>
        <v>10385</v>
      </c>
      <c r="L638" s="13">
        <v>0</v>
      </c>
      <c r="M638" s="14" cm="1">
        <f t="array" ref="M638">IFERROR(jauna_bil(D638,F638,J638,B638,L638),"Kluda!")</f>
        <v>10385</v>
      </c>
    </row>
    <row r="639" spans="1:13" x14ac:dyDescent="0.25">
      <c r="A639" s="12">
        <v>36798</v>
      </c>
      <c r="B639" s="13">
        <v>0</v>
      </c>
      <c r="C639" s="12"/>
      <c r="D639" s="13">
        <v>3357</v>
      </c>
      <c r="E639" s="12">
        <v>1</v>
      </c>
      <c r="F639" s="13" cm="1">
        <f t="array" ref="F639">IFERROR(atlaide(E639,B639),"Kluda!")</f>
        <v>0</v>
      </c>
      <c r="G639" s="13"/>
      <c r="H639" s="12">
        <v>7</v>
      </c>
      <c r="I639" s="12"/>
      <c r="J639" s="13" cm="1">
        <f t="array" ref="J639">palidzibas_d(H639,I639)</f>
        <v>0</v>
      </c>
      <c r="K639" s="13">
        <f>IFERROR(('Invoice Data'!$B639+'Invoice Data'!$D639-'Invoice Data'!$F639-'Invoice Data'!$J639+'Invoice Data'!$G639),"Kluda!")</f>
        <v>3357</v>
      </c>
      <c r="L639" s="13">
        <v>0</v>
      </c>
      <c r="M639" s="14" cm="1">
        <f t="array" ref="M639">IFERROR(jauna_bil(D639,F639,J639,B639,L639),"Kluda!")</f>
        <v>3357</v>
      </c>
    </row>
    <row r="640" spans="1:13" x14ac:dyDescent="0.25">
      <c r="A640" s="12">
        <v>36805</v>
      </c>
      <c r="B640" s="13">
        <v>0</v>
      </c>
      <c r="C640" s="12"/>
      <c r="D640" s="13">
        <v>7551</v>
      </c>
      <c r="E640" s="12">
        <v>2</v>
      </c>
      <c r="F640" s="13" cm="1">
        <f t="array" ref="F640">IFERROR(atlaide(E640,B640),"Kluda!")</f>
        <v>0</v>
      </c>
      <c r="G640" s="13"/>
      <c r="H640" s="12">
        <v>9</v>
      </c>
      <c r="I640" s="12"/>
      <c r="J640" s="13" cm="1">
        <f t="array" ref="J640">palidzibas_d(H640,I640)</f>
        <v>0</v>
      </c>
      <c r="K640" s="13">
        <f>IFERROR(('Invoice Data'!$B640+'Invoice Data'!$D640-'Invoice Data'!$F640-'Invoice Data'!$J640+'Invoice Data'!$G640),"Kluda!")</f>
        <v>7551</v>
      </c>
      <c r="L640" s="13">
        <v>0</v>
      </c>
      <c r="M640" s="14" cm="1">
        <f t="array" ref="M640">IFERROR(jauna_bil(D640,F640,J640,B640,L640),"Kluda!")</f>
        <v>7551</v>
      </c>
    </row>
    <row r="641" spans="1:13" x14ac:dyDescent="0.25">
      <c r="A641" s="12">
        <v>36814</v>
      </c>
      <c r="B641" s="13">
        <v>0</v>
      </c>
      <c r="C641" s="12"/>
      <c r="D641" s="13">
        <v>10048</v>
      </c>
      <c r="E641" s="12">
        <v>2</v>
      </c>
      <c r="F641" s="13" cm="1">
        <f t="array" ref="F641">IFERROR(atlaide(E641,B641),"Kluda!")</f>
        <v>0</v>
      </c>
      <c r="G641" s="13"/>
      <c r="H641" s="12">
        <v>4</v>
      </c>
      <c r="I641" s="12"/>
      <c r="J641" s="13" cm="1">
        <f t="array" ref="J641">palidzibas_d(H641,I641)</f>
        <v>0</v>
      </c>
      <c r="K641" s="13">
        <f>IFERROR(('Invoice Data'!$B641+'Invoice Data'!$D641-'Invoice Data'!$F641-'Invoice Data'!$J641+'Invoice Data'!$G641),"Kluda!")</f>
        <v>10048</v>
      </c>
      <c r="L641" s="13">
        <v>0</v>
      </c>
      <c r="M641" s="14" cm="1">
        <f t="array" ref="M641">IFERROR(jauna_bil(D641,F641,J641,B641,L641),"Kluda!")</f>
        <v>10048</v>
      </c>
    </row>
    <row r="642" spans="1:13" x14ac:dyDescent="0.25">
      <c r="A642" s="12">
        <v>36823</v>
      </c>
      <c r="B642" s="13">
        <v>0</v>
      </c>
      <c r="C642" s="12"/>
      <c r="D642" s="13">
        <v>8000</v>
      </c>
      <c r="E642" s="12">
        <v>2</v>
      </c>
      <c r="F642" s="13" cm="1">
        <f t="array" ref="F642">IFERROR(atlaide(E642,B642),"Kluda!")</f>
        <v>0</v>
      </c>
      <c r="G642" s="13"/>
      <c r="H642" s="12">
        <v>11</v>
      </c>
      <c r="I642" s="12"/>
      <c r="J642" s="13" cm="1">
        <f t="array" ref="J642">palidzibas_d(H642,I642)</f>
        <v>0</v>
      </c>
      <c r="K642" s="13">
        <f>IFERROR(('Invoice Data'!$B642+'Invoice Data'!$D642-'Invoice Data'!$F642-'Invoice Data'!$J642+'Invoice Data'!$G642),"Kluda!")</f>
        <v>8000</v>
      </c>
      <c r="L642" s="13">
        <v>0</v>
      </c>
      <c r="M642" s="14" cm="1">
        <f t="array" ref="M642">IFERROR(jauna_bil(D642,F642,J642,B642,L642),"Kluda!")</f>
        <v>8000</v>
      </c>
    </row>
    <row r="643" spans="1:13" x14ac:dyDescent="0.25">
      <c r="A643" s="12">
        <v>36832</v>
      </c>
      <c r="B643" s="13">
        <v>0</v>
      </c>
      <c r="C643" s="12"/>
      <c r="D643" s="13">
        <v>4336</v>
      </c>
      <c r="E643" s="12">
        <v>1</v>
      </c>
      <c r="F643" s="13" cm="1">
        <f t="array" ref="F643">IFERROR(atlaide(E643,B643),"Kluda!")</f>
        <v>0</v>
      </c>
      <c r="G643" s="13"/>
      <c r="H643" s="12">
        <v>1</v>
      </c>
      <c r="I643" s="12"/>
      <c r="J643" s="13" cm="1">
        <f t="array" ref="J643">palidzibas_d(H643,I643)</f>
        <v>0</v>
      </c>
      <c r="K643" s="13">
        <f>IFERROR(('Invoice Data'!$B643+'Invoice Data'!$D643-'Invoice Data'!$F643-'Invoice Data'!$J643+'Invoice Data'!$G643),"Kluda!")</f>
        <v>4336</v>
      </c>
      <c r="L643" s="13">
        <v>0</v>
      </c>
      <c r="M643" s="14" cm="1">
        <f t="array" ref="M643">IFERROR(jauna_bil(D643,F643,J643,B643,L643),"Kluda!")</f>
        <v>4336</v>
      </c>
    </row>
    <row r="644" spans="1:13" x14ac:dyDescent="0.25">
      <c r="A644" s="12">
        <v>36841</v>
      </c>
      <c r="B644" s="13">
        <v>0</v>
      </c>
      <c r="C644" s="12"/>
      <c r="D644" s="13">
        <v>9822</v>
      </c>
      <c r="E644" s="12">
        <v>2</v>
      </c>
      <c r="F644" s="13" cm="1">
        <f t="array" ref="F644">IFERROR(atlaide(E644,B644),"Kluda!")</f>
        <v>0</v>
      </c>
      <c r="G644" s="13"/>
      <c r="H644" s="12">
        <v>14</v>
      </c>
      <c r="I644" s="12"/>
      <c r="J644" s="13" cm="1">
        <f t="array" ref="J644">palidzibas_d(H644,I644)</f>
        <v>0</v>
      </c>
      <c r="K644" s="13">
        <f>IFERROR(('Invoice Data'!$B644+'Invoice Data'!$D644-'Invoice Data'!$F644-'Invoice Data'!$J644+'Invoice Data'!$G644),"Kluda!")</f>
        <v>9822</v>
      </c>
      <c r="L644" s="13">
        <v>0</v>
      </c>
      <c r="M644" s="14" cm="1">
        <f t="array" ref="M644">IFERROR(jauna_bil(D644,F644,J644,B644,L644),"Kluda!")</f>
        <v>9822</v>
      </c>
    </row>
    <row r="645" spans="1:13" x14ac:dyDescent="0.25">
      <c r="A645" s="12">
        <v>36850</v>
      </c>
      <c r="B645" s="13">
        <v>0</v>
      </c>
      <c r="C645" s="12"/>
      <c r="D645" s="13">
        <v>4631</v>
      </c>
      <c r="E645" s="12">
        <v>1</v>
      </c>
      <c r="F645" s="13" cm="1">
        <f t="array" ref="F645">IFERROR(atlaide(E645,B645),"Kluda!")</f>
        <v>0</v>
      </c>
      <c r="G645" s="13"/>
      <c r="H645" s="12">
        <v>9</v>
      </c>
      <c r="I645" s="12"/>
      <c r="J645" s="13" cm="1">
        <f t="array" ref="J645">palidzibas_d(H645,I645)</f>
        <v>0</v>
      </c>
      <c r="K645" s="13">
        <f>IFERROR(('Invoice Data'!$B645+'Invoice Data'!$D645-'Invoice Data'!$F645-'Invoice Data'!$J645+'Invoice Data'!$G645),"Kluda!")</f>
        <v>4631</v>
      </c>
      <c r="L645" s="13">
        <v>0</v>
      </c>
      <c r="M645" s="14" cm="1">
        <f t="array" ref="M645">IFERROR(jauna_bil(D645,F645,J645,B645,L645),"Kluda!")</f>
        <v>4631</v>
      </c>
    </row>
    <row r="646" spans="1:13" x14ac:dyDescent="0.25">
      <c r="A646" s="12">
        <v>36869</v>
      </c>
      <c r="B646" s="13">
        <v>0</v>
      </c>
      <c r="C646" s="12"/>
      <c r="D646" s="13">
        <v>5054</v>
      </c>
      <c r="E646" s="12">
        <v>1</v>
      </c>
      <c r="F646" s="13" cm="1">
        <f t="array" ref="F646">IFERROR(atlaide(E646,B646),"Kluda!")</f>
        <v>0</v>
      </c>
      <c r="G646" s="13"/>
      <c r="H646" s="12">
        <v>6</v>
      </c>
      <c r="I646" s="12"/>
      <c r="J646" s="13" cm="1">
        <f t="array" ref="J646">palidzibas_d(H646,I646)</f>
        <v>0</v>
      </c>
      <c r="K646" s="13">
        <f>IFERROR(('Invoice Data'!$B646+'Invoice Data'!$D646-'Invoice Data'!$F646-'Invoice Data'!$J646+'Invoice Data'!$G646),"Kluda!")</f>
        <v>5054</v>
      </c>
      <c r="L646" s="13">
        <v>0</v>
      </c>
      <c r="M646" s="14" cm="1">
        <f t="array" ref="M646">IFERROR(jauna_bil(D646,F646,J646,B646,L646),"Kluda!")</f>
        <v>5054</v>
      </c>
    </row>
    <row r="647" spans="1:13" x14ac:dyDescent="0.25">
      <c r="A647" s="12">
        <v>36878</v>
      </c>
      <c r="B647" s="13">
        <v>0</v>
      </c>
      <c r="C647" s="12"/>
      <c r="D647" s="13">
        <v>5322</v>
      </c>
      <c r="E647" s="12">
        <v>1</v>
      </c>
      <c r="F647" s="13" cm="1">
        <f t="array" ref="F647">IFERROR(atlaide(E647,B647),"Kluda!")</f>
        <v>0</v>
      </c>
      <c r="G647" s="13"/>
      <c r="H647" s="12">
        <v>2</v>
      </c>
      <c r="I647" s="12"/>
      <c r="J647" s="13" cm="1">
        <f t="array" ref="J647">palidzibas_d(H647,I647)</f>
        <v>0</v>
      </c>
      <c r="K647" s="13">
        <f>IFERROR(('Invoice Data'!$B647+'Invoice Data'!$D647-'Invoice Data'!$F647-'Invoice Data'!$J647+'Invoice Data'!$G647),"Kluda!")</f>
        <v>5322</v>
      </c>
      <c r="L647" s="13">
        <v>0</v>
      </c>
      <c r="M647" s="14" cm="1">
        <f t="array" ref="M647">IFERROR(jauna_bil(D647,F647,J647,B647,L647),"Kluda!")</f>
        <v>5322</v>
      </c>
    </row>
    <row r="648" spans="1:13" x14ac:dyDescent="0.25">
      <c r="A648" s="12">
        <v>36887</v>
      </c>
      <c r="B648" s="13">
        <v>0</v>
      </c>
      <c r="C648" s="12"/>
      <c r="D648" s="13">
        <v>7379</v>
      </c>
      <c r="E648" s="12">
        <v>2</v>
      </c>
      <c r="F648" s="13" cm="1">
        <f t="array" ref="F648">IFERROR(atlaide(E648,B648),"Kluda!")</f>
        <v>0</v>
      </c>
      <c r="G648" s="13"/>
      <c r="H648" s="12">
        <v>4</v>
      </c>
      <c r="I648" s="12"/>
      <c r="J648" s="13" cm="1">
        <f t="array" ref="J648">palidzibas_d(H648,I648)</f>
        <v>0</v>
      </c>
      <c r="K648" s="13">
        <f>IFERROR(('Invoice Data'!$B648+'Invoice Data'!$D648-'Invoice Data'!$F648-'Invoice Data'!$J648+'Invoice Data'!$G648),"Kluda!")</f>
        <v>7379</v>
      </c>
      <c r="L648" s="13">
        <v>0</v>
      </c>
      <c r="M648" s="14" cm="1">
        <f t="array" ref="M648">IFERROR(jauna_bil(D648,F648,J648,B648,L648),"Kluda!")</f>
        <v>7379</v>
      </c>
    </row>
    <row r="649" spans="1:13" x14ac:dyDescent="0.25">
      <c r="A649" s="12">
        <v>36896</v>
      </c>
      <c r="B649" s="13">
        <v>0</v>
      </c>
      <c r="C649" s="12"/>
      <c r="D649" s="13">
        <v>4033</v>
      </c>
      <c r="E649" s="12">
        <v>1</v>
      </c>
      <c r="F649" s="13" cm="1">
        <f t="array" ref="F649">IFERROR(atlaide(E649,B649),"Kluda!")</f>
        <v>0</v>
      </c>
      <c r="G649" s="13"/>
      <c r="H649" s="12">
        <v>12</v>
      </c>
      <c r="I649" s="12"/>
      <c r="J649" s="13" cm="1">
        <f t="array" ref="J649">palidzibas_d(H649,I649)</f>
        <v>0</v>
      </c>
      <c r="K649" s="13">
        <f>IFERROR(('Invoice Data'!$B649+'Invoice Data'!$D649-'Invoice Data'!$F649-'Invoice Data'!$J649+'Invoice Data'!$G649),"Kluda!")</f>
        <v>4033</v>
      </c>
      <c r="L649" s="13">
        <v>0</v>
      </c>
      <c r="M649" s="14" cm="1">
        <f t="array" ref="M649">IFERROR(jauna_bil(D649,F649,J649,B649,L649),"Kluda!")</f>
        <v>4033</v>
      </c>
    </row>
    <row r="650" spans="1:13" x14ac:dyDescent="0.25">
      <c r="A650" s="12">
        <v>36903</v>
      </c>
      <c r="B650" s="13">
        <v>0</v>
      </c>
      <c r="C650" s="12"/>
      <c r="D650" s="13">
        <v>6916</v>
      </c>
      <c r="E650" s="12">
        <v>2</v>
      </c>
      <c r="F650" s="13" cm="1">
        <f t="array" ref="F650">IFERROR(atlaide(E650,B650),"Kluda!")</f>
        <v>0</v>
      </c>
      <c r="G650" s="13"/>
      <c r="H650" s="12">
        <v>13</v>
      </c>
      <c r="I650" s="12"/>
      <c r="J650" s="13" cm="1">
        <f t="array" ref="J650">palidzibas_d(H650,I650)</f>
        <v>0</v>
      </c>
      <c r="K650" s="13">
        <f>IFERROR(('Invoice Data'!$B650+'Invoice Data'!$D650-'Invoice Data'!$F650-'Invoice Data'!$J650+'Invoice Data'!$G650),"Kluda!")</f>
        <v>6916</v>
      </c>
      <c r="L650" s="13">
        <v>0</v>
      </c>
      <c r="M650" s="14" cm="1">
        <f t="array" ref="M650">IFERROR(jauna_bil(D650,F650,J650,B650,L650),"Kluda!")</f>
        <v>6916</v>
      </c>
    </row>
    <row r="651" spans="1:13" x14ac:dyDescent="0.25">
      <c r="A651" s="12">
        <v>36912</v>
      </c>
      <c r="B651" s="13">
        <v>0</v>
      </c>
      <c r="C651" s="12"/>
      <c r="D651" s="13">
        <v>4101</v>
      </c>
      <c r="E651" s="12">
        <v>1</v>
      </c>
      <c r="F651" s="13" cm="1">
        <f t="array" ref="F651">IFERROR(atlaide(E651,B651),"Kluda!")</f>
        <v>0</v>
      </c>
      <c r="G651" s="13"/>
      <c r="H651" s="12">
        <v>0</v>
      </c>
      <c r="I651" s="12" t="b">
        <v>1</v>
      </c>
      <c r="J651" s="13" cm="1">
        <f t="array" ref="J651">palidzibas_d(H651,I651)</f>
        <v>0</v>
      </c>
      <c r="K651" s="13">
        <f>IFERROR(('Invoice Data'!$B651+'Invoice Data'!$D651-'Invoice Data'!$F651-'Invoice Data'!$J651+'Invoice Data'!$G651),"Kluda!")</f>
        <v>4101</v>
      </c>
      <c r="L651" s="13">
        <v>0</v>
      </c>
      <c r="M651" s="14" cm="1">
        <f t="array" ref="M651">IFERROR(jauna_bil(D651,F651,J651,B651,L651),"Kluda!")</f>
        <v>4101</v>
      </c>
    </row>
    <row r="652" spans="1:13" x14ac:dyDescent="0.25">
      <c r="A652" s="12">
        <v>36921</v>
      </c>
      <c r="B652" s="13">
        <v>0</v>
      </c>
      <c r="C652" s="12"/>
      <c r="D652" s="13">
        <v>3709</v>
      </c>
      <c r="E652" s="12">
        <v>1</v>
      </c>
      <c r="F652" s="13" cm="1">
        <f t="array" ref="F652">IFERROR(atlaide(E652,B652),"Kluda!")</f>
        <v>0</v>
      </c>
      <c r="G652" s="13"/>
      <c r="H652" s="12">
        <v>9</v>
      </c>
      <c r="I652" s="12"/>
      <c r="J652" s="13" cm="1">
        <f t="array" ref="J652">palidzibas_d(H652,I652)</f>
        <v>0</v>
      </c>
      <c r="K652" s="13">
        <f>IFERROR(('Invoice Data'!$B652+'Invoice Data'!$D652-'Invoice Data'!$F652-'Invoice Data'!$J652+'Invoice Data'!$G652),"Kluda!")</f>
        <v>3709</v>
      </c>
      <c r="L652" s="13">
        <v>0</v>
      </c>
      <c r="M652" s="14" cm="1">
        <f t="array" ref="M652">IFERROR(jauna_bil(D652,F652,J652,B652,L652),"Kluda!")</f>
        <v>3709</v>
      </c>
    </row>
    <row r="653" spans="1:13" x14ac:dyDescent="0.25">
      <c r="A653" s="12">
        <v>36930</v>
      </c>
      <c r="B653" s="13">
        <v>0</v>
      </c>
      <c r="C653" s="12"/>
      <c r="D653" s="13">
        <v>6358</v>
      </c>
      <c r="E653" s="12">
        <v>2</v>
      </c>
      <c r="F653" s="13" cm="1">
        <f t="array" ref="F653">IFERROR(atlaide(E653,B653),"Kluda!")</f>
        <v>0</v>
      </c>
      <c r="G653" s="13"/>
      <c r="H653" s="12">
        <v>13</v>
      </c>
      <c r="I653" s="12"/>
      <c r="J653" s="13" cm="1">
        <f t="array" ref="J653">palidzibas_d(H653,I653)</f>
        <v>0</v>
      </c>
      <c r="K653" s="13">
        <f>IFERROR(('Invoice Data'!$B653+'Invoice Data'!$D653-'Invoice Data'!$F653-'Invoice Data'!$J653+'Invoice Data'!$G653),"Kluda!")</f>
        <v>6358</v>
      </c>
      <c r="L653" s="13">
        <v>0</v>
      </c>
      <c r="M653" s="14" cm="1">
        <f t="array" ref="M653">IFERROR(jauna_bil(D653,F653,J653,B653,L653),"Kluda!")</f>
        <v>6358</v>
      </c>
    </row>
    <row r="654" spans="1:13" x14ac:dyDescent="0.25">
      <c r="A654" s="15">
        <v>36949</v>
      </c>
      <c r="B654" s="16">
        <v>0</v>
      </c>
      <c r="C654" s="15"/>
      <c r="D654" s="16">
        <v>9482</v>
      </c>
      <c r="E654" s="15">
        <v>2</v>
      </c>
      <c r="F654" s="13" cm="1">
        <f t="array" ref="F654">IFERROR(atlaide(E654,B654),"Kluda!")</f>
        <v>0</v>
      </c>
      <c r="G654" s="16"/>
      <c r="H654" s="15">
        <v>7</v>
      </c>
      <c r="I654" s="15"/>
      <c r="J654" s="13" cm="1">
        <f t="array" ref="J654">palidzibas_d(H654,I654)</f>
        <v>0</v>
      </c>
      <c r="K654" s="13">
        <f>IFERROR(('Invoice Data'!$B654+'Invoice Data'!$D654-'Invoice Data'!$F654-'Invoice Data'!$J654+'Invoice Data'!$G654),"Kluda!")</f>
        <v>9482</v>
      </c>
      <c r="L654" s="13">
        <v>0</v>
      </c>
      <c r="M654" s="14" cm="1">
        <f t="array" ref="M654">IFERROR(jauna_bil(D654,F654,J654,B654,L654),"Kluda!")</f>
        <v>9482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Invoice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Lauma Gailīte</cp:lastModifiedBy>
  <dcterms:created xsi:type="dcterms:W3CDTF">2017-08-06T09:33:45Z</dcterms:created>
  <dcterms:modified xsi:type="dcterms:W3CDTF">2022-09-25T14:32:24Z</dcterms:modified>
</cp:coreProperties>
</file>